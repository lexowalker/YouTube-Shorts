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ettings" sheetId="2" state="visible" r:id="rId4"/>
  </sheets>
  <definedNames>
    <definedName function="false" hidden="true" localSheetId="0" name="_xlnm._FilterDatabase" vbProcedure="false">Schedule!$A$1:$L$244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Chapter numbers are inputs. Titles and source videos come from the item descriptions on archive.org.</t>
        </r>
      </text>
    </comment>
    <comment ref="G2" authorId="0">
      <text>
        <r>
          <rPr>
            <sz val="10"/>
            <rFont val="Arial"/>
            <family val="2"/>
          </rPr>
          <t xml:space="preserve">Settings first release date + (week − 1) × days between chapters + the type's offset. Red = past due and not released.</t>
        </r>
      </text>
    </comment>
  </commentList>
</comments>
</file>

<file path=xl/sharedStrings.xml><?xml version="1.0" encoding="utf-8"?>
<sst xmlns="http://schemas.openxmlformats.org/spreadsheetml/2006/main" count="1015" uniqueCount="151">
  <si>
    <t xml:space="preserve">Release #</t>
  </si>
  <si>
    <t xml:space="preserve">Week</t>
  </si>
  <si>
    <t xml:space="preserve">Chapter</t>
  </si>
  <si>
    <t xml:space="preserve">Chapter title</t>
  </si>
  <si>
    <t xml:space="preserve">Short type</t>
  </si>
  <si>
    <t xml:space="preserve">Day</t>
  </si>
  <si>
    <t xml:space="preserve">Release date</t>
  </si>
  <si>
    <t xml:space="preserve">Days since previous</t>
  </si>
  <si>
    <t xml:space="preserve">Source video</t>
  </si>
  <si>
    <t xml:space="preserve">Status</t>
  </si>
  <si>
    <t xml:space="preserve">Short title</t>
  </si>
  <si>
    <t xml:space="preserve">Notes</t>
  </si>
  <si>
    <t xml:space="preserve">A Way Can Be a Guide</t>
  </si>
  <si>
    <t xml:space="preserve">Reading</t>
  </si>
  <si>
    <t xml:space="preserve">arredondo-03-27-24-tao-te-ching-chap-1-the-gateway-of-marvels-3-27-2024</t>
  </si>
  <si>
    <t xml:space="preserve">Released</t>
  </si>
  <si>
    <t xml:space="preserve">The Gateway of Marvels · Tao Te Ching, Ch. 1</t>
  </si>
  <si>
    <t xml:space="preserve">Reading Short; shorts/tao-ch1-gateway-of-marvels</t>
  </si>
  <si>
    <t xml:space="preserve">Discussion 1</t>
  </si>
  <si>
    <t xml:space="preserve">Planned</t>
  </si>
  <si>
    <t xml:space="preserve">Discussion 2</t>
  </si>
  <si>
    <t xml:space="preserve">Everyone Knows</t>
  </si>
  <si>
    <t xml:space="preserve">arredondo-03-28-24-tao-te-ching-chaps-2-3-when-everyone-knows-beauty-is-beauty</t>
  </si>
  <si>
    <t xml:space="preserve">Ready</t>
  </si>
  <si>
    <t xml:space="preserve">Reading Short made and approved (shorts/tao-ch2-everyone-knows)</t>
  </si>
  <si>
    <t xml:space="preserve">Not Exalting Cleverness</t>
  </si>
  <si>
    <t xml:space="preserve">Reading Short made and approved (shorts/tao-ch3-not-exalting-cleverness)</t>
  </si>
  <si>
    <t xml:space="preserve">The Way Is Unimpeded Harmony</t>
  </si>
  <si>
    <t xml:space="preserve">arredondo-03-31-24-tao-te-ching-chaps-4-5-the-way-is-unimpeded-harmony</t>
  </si>
  <si>
    <t xml:space="preserve">Heaven and Earth</t>
  </si>
  <si>
    <t xml:space="preserve">The Valley Spirit</t>
  </si>
  <si>
    <t xml:space="preserve">arredondo-04-03-24-tao-te-ching-chaps-6-8-the-opening-of-the-mysterious-female</t>
  </si>
  <si>
    <t xml:space="preserve">Heaven Is Eternal, Earth Is Everlasting</t>
  </si>
  <si>
    <t xml:space="preserve">Higher Good Is like Water</t>
  </si>
  <si>
    <t xml:space="preserve">To Keep on Filling</t>
  </si>
  <si>
    <t xml:space="preserve">arredondo-04-04-24-tao-te-ching-chaps-9-10-vitality-and-consciousness-april-4-2</t>
  </si>
  <si>
    <t xml:space="preserve">Carrying Vitality and Consciousness</t>
  </si>
  <si>
    <t xml:space="preserve">Thirty Spokes</t>
  </si>
  <si>
    <t xml:space="preserve">arredondo-04-05-24-tao-te-ching-chaps-11-13-thirty-spokes-colors-favor-and-disg</t>
  </si>
  <si>
    <t xml:space="preserve">Colors</t>
  </si>
  <si>
    <t xml:space="preserve">Favor and Disgrace</t>
  </si>
  <si>
    <t xml:space="preserve">When You Look at It You Don't See It</t>
  </si>
  <si>
    <t xml:space="preserve">arredondo-04-09-24-tao-te-ching-chaps-14-15-what-you-don-t-see-skilled-warriors</t>
  </si>
  <si>
    <t xml:space="preserve">Skilled Warriors of Old</t>
  </si>
  <si>
    <t xml:space="preserve">Attain the Climax of Emptiness</t>
  </si>
  <si>
    <t xml:space="preserve">arredondo-04-10-24-tao-te-ching-chaps-16-18-april-10-2024</t>
  </si>
  <si>
    <t xml:space="preserve">Very Great Leaders</t>
  </si>
  <si>
    <t xml:space="preserve">When the Great Way Is Deserted</t>
  </si>
  <si>
    <t xml:space="preserve">Eliminate Sagacity, Abandon Knowledge</t>
  </si>
  <si>
    <t xml:space="preserve">arredondo-04-11-24-tao-te-ching-chaps-19-21-april-11-2024</t>
  </si>
  <si>
    <t xml:space="preserve">Detach from Learning and You Have No Worries</t>
  </si>
  <si>
    <t xml:space="preserve">The Countenance of Great Virtue</t>
  </si>
  <si>
    <t xml:space="preserve">Be Tactful and You Remain Whole</t>
  </si>
  <si>
    <t xml:space="preserve">arredondo-04-12-24-tao-te-ching-chaps-22-24-be-tactful-speak-rarely-those-on-ti</t>
  </si>
  <si>
    <t xml:space="preserve">To Speak Rarely Is Natural</t>
  </si>
  <si>
    <t xml:space="preserve">Those on Tiptoe Don't Stand Up</t>
  </si>
  <si>
    <t xml:space="preserve">Something Undifferentiated</t>
  </si>
  <si>
    <t xml:space="preserve">arredondo-04-18-24-tao-te-ching-chaps-25-27-undifferentiated-root-of-lightness</t>
  </si>
  <si>
    <t xml:space="preserve">Gravity Is the Root of Lightness</t>
  </si>
  <si>
    <t xml:space="preserve">Good Works</t>
  </si>
  <si>
    <t xml:space="preserve">Know the Male</t>
  </si>
  <si>
    <t xml:space="preserve">arredondo-04-19-24-tao-te-ching-chaps-28-30-keep-to-the-female-should-you-want</t>
  </si>
  <si>
    <t xml:space="preserve">Should You Want</t>
  </si>
  <si>
    <t xml:space="preserve">Assisting Human Leaders with the Way</t>
  </si>
  <si>
    <t xml:space="preserve">Fine Weapons</t>
  </si>
  <si>
    <t xml:space="preserve">arredondo-04-19-24-tao-te-ching-chaps-31-33-fine-weapons-eternally-nameless-tho</t>
  </si>
  <si>
    <t xml:space="preserve">The Way Is Eternally Nameless</t>
  </si>
  <si>
    <t xml:space="preserve">Those Who Know Others</t>
  </si>
  <si>
    <t xml:space="preserve">The Great Way is Universal</t>
  </si>
  <si>
    <t xml:space="preserve">arredondo-04-24-24-tao-te-ching-chaps-34-37-universal-great-image-contain-uncon</t>
  </si>
  <si>
    <t xml:space="preserve">Holding the Great Image</t>
  </si>
  <si>
    <t xml:space="preserve">Should You Want to Contain</t>
  </si>
  <si>
    <t xml:space="preserve">The Way Is Always Uncontrived</t>
  </si>
  <si>
    <t xml:space="preserve">Higher Virtue Is Not Ingratiating</t>
  </si>
  <si>
    <t xml:space="preserve">arredondo-04-25-24-tao-te-ching-chaps-38-40-not-ingratiating-attaining-unity-mo</t>
  </si>
  <si>
    <t xml:space="preserve">Ancient Attainment of Unity</t>
  </si>
  <si>
    <t xml:space="preserve">Return Is the Movement of the Way</t>
  </si>
  <si>
    <t xml:space="preserve">When Superior People Hear of the Way</t>
  </si>
  <si>
    <t xml:space="preserve">arredondo-04-27-24-tao-te-ching-chaps-41-43-when-superior-people-way-produces-o</t>
  </si>
  <si>
    <t xml:space="preserve">The Way Produces One</t>
  </si>
  <si>
    <t xml:space="preserve">What Is Softest in the World</t>
  </si>
  <si>
    <t xml:space="preserve">Name or Body</t>
  </si>
  <si>
    <t xml:space="preserve">arredondo-05-01-24-tao-te-ching-chaps-44-47-name-or-body-great-completeness-wor</t>
  </si>
  <si>
    <t xml:space="preserve">Great Completeness Seems Incomplete</t>
  </si>
  <si>
    <t xml:space="preserve">When the World Has the Way</t>
  </si>
  <si>
    <t xml:space="preserve">Without Even Going out the Door</t>
  </si>
  <si>
    <t xml:space="preserve">For Learning You Gain Daily</t>
  </si>
  <si>
    <t xml:space="preserve">Sages Have No Fixed Mind</t>
  </si>
  <si>
    <t xml:space="preserve">arredondo-05-03-24-tao-te-ching-chaps-48-50-gain-daily-sages-no-fixed-mind-from</t>
  </si>
  <si>
    <t xml:space="preserve">From Life into Death</t>
  </si>
  <si>
    <t xml:space="preserve">The Way Gives Birth</t>
  </si>
  <si>
    <t xml:space="preserve">The World Has a Beginning</t>
  </si>
  <si>
    <t xml:space="preserve">arredondo-05-06-24-tao-te-ching-chaps-51-54-gives-birth-world-beginning-flashes</t>
  </si>
  <si>
    <t xml:space="preserve">Causing One Flashes</t>
  </si>
  <si>
    <t xml:space="preserve">Good Construction Does Not Fall Down</t>
  </si>
  <si>
    <t xml:space="preserve">The Richness of Subliminal Virtue</t>
  </si>
  <si>
    <t xml:space="preserve">arredondo-05-07-24-tao-te-ching-chaps-55-58-subliminal-those-who-know-govern-un</t>
  </si>
  <si>
    <t xml:space="preserve">Those Who Know Do Not Say</t>
  </si>
  <si>
    <t xml:space="preserve">Govern Nations by Normalcy</t>
  </si>
  <si>
    <t xml:space="preserve">When the Government Is Unobtrusive</t>
  </si>
  <si>
    <t xml:space="preserve">To Govern the Human and Serve the Divine</t>
  </si>
  <si>
    <t xml:space="preserve">arredondo-05-08-24-tao-te-ching-chaps-59-62-govern-the-human-small-fry-great-na</t>
  </si>
  <si>
    <t xml:space="preserve">Governing a Large Nation Is like Cooking Small Fry</t>
  </si>
  <si>
    <t xml:space="preserve">A Great Nation Flows Downward</t>
  </si>
  <si>
    <t xml:space="preserve">The Way Is the Pivot of All Things</t>
  </si>
  <si>
    <t xml:space="preserve">Do Nondoing</t>
  </si>
  <si>
    <t xml:space="preserve">arredondo-05-09-24-tao-te-ching-chaps-63-65-do-non-doing-what-is-at-rest-good-p</t>
  </si>
  <si>
    <t xml:space="preserve">What Is at Rest Is Easy to Hold</t>
  </si>
  <si>
    <t xml:space="preserve">Good Practitioners of the Way in Ancient Times</t>
  </si>
  <si>
    <t xml:space="preserve">Rivers and Seas Are Lords of the Hundred Valleys</t>
  </si>
  <si>
    <t xml:space="preserve">Everyone Says</t>
  </si>
  <si>
    <t xml:space="preserve">arredondo-05-10-24-tao-te-ching-chaps-66-69-rivers-seas-everyone-says-warriors</t>
  </si>
  <si>
    <t xml:space="preserve">Good Warriors</t>
  </si>
  <si>
    <t xml:space="preserve">Sayings on Military Operations</t>
  </si>
  <si>
    <t xml:space="preserve">My Sayings Are Very Easy to Recognize</t>
  </si>
  <si>
    <t xml:space="preserve">arredondo-05-16-24-tao-te-ching-chaps-70-73-my-sayings-knowing-unconsciously-no</t>
  </si>
  <si>
    <t xml:space="preserve">Knowing Unconsciously</t>
  </si>
  <si>
    <t xml:space="preserve">When the People Are Not Awed by Authority</t>
  </si>
  <si>
    <t xml:space="preserve">Boldness in Daring Means Killing</t>
  </si>
  <si>
    <t xml:space="preserve">If People Usually Don't Fear Death</t>
  </si>
  <si>
    <t xml:space="preserve">People's Starvation</t>
  </si>
  <si>
    <t xml:space="preserve">arredondo-05-16-24-tao-te-ching-chaps-75-78-starvation-people-are-born-way-of-h</t>
  </si>
  <si>
    <t xml:space="preserve">When People Are Born</t>
  </si>
  <si>
    <t xml:space="preserve">The Way of Heaven</t>
  </si>
  <si>
    <t xml:space="preserve">The Most Flexible Thing in the World</t>
  </si>
  <si>
    <t xml:space="preserve">Harmonize Bitter Enemies</t>
  </si>
  <si>
    <t xml:space="preserve">arredondo-05-29-24-tao-te-ching-chaps-79-81-bitter-enemies-a-small-state-true-w</t>
  </si>
  <si>
    <t xml:space="preserve">A Small State Has Few People</t>
  </si>
  <si>
    <t xml:space="preserve">True Words Are Not Beautiful</t>
  </si>
  <si>
    <t xml:space="preserve">Tao Te Ching Shorts: release cadence</t>
  </si>
  <si>
    <t xml:space="preserve">Inputs (edit the yellow cells; every date in Schedule follows them)</t>
  </si>
  <si>
    <t xml:space="preserve">First release date</t>
  </si>
  <si>
    <t xml:space="preserve">Chapter 1 reading, released Fri 23 Oct 2026 (from you)</t>
  </si>
  <si>
    <t xml:space="preserve">Days after the reading</t>
  </si>
  <si>
    <t xml:space="preserve">What it is</t>
  </si>
  <si>
    <t xml:space="preserve">The chapter read straight through (reading-short)</t>
  </si>
  <si>
    <t xml:space="preserve">The chapter's main teaching from his discussion (make-short)</t>
  </si>
  <si>
    <t xml:space="preserve">A second point he emphasizes, or a different presentation of Discussion 1 if there is only one</t>
  </si>
  <si>
    <t xml:space="preserve">Days between chapters</t>
  </si>
  <si>
    <t xml:space="preserve">One chapter a week: Fri reading, Mon and Wed discussions (gaps of 3, 2, 2 days)</t>
  </si>
  <si>
    <t xml:space="preserve">Overview</t>
  </si>
  <si>
    <t xml:space="preserve">Shorts planned</t>
  </si>
  <si>
    <t xml:space="preserve">Still to release</t>
  </si>
  <si>
    <t xml:space="preserve">Last release</t>
  </si>
  <si>
    <t xml:space="preserve">Next up</t>
  </si>
  <si>
    <t xml:space="preserve">Release number of the first row in Schedule not marked Released</t>
  </si>
  <si>
    <t xml:space="preserve">Next up on</t>
  </si>
  <si>
    <t xml:space="preserve">Legend</t>
  </si>
  <si>
    <t xml:space="preserve">Yellow fill, blue text: inputs you can edit. Black: formulas, don't overwrite.</t>
  </si>
  <si>
    <t xml:space="preserve">In Schedule, fill in Status, Short title and Notes as you go. Row 2 (Chapter 1 reading) is the worked example.</t>
  </si>
  <si>
    <t xml:space="preserve">Chapter titles and source videos come from the channel's archive.org descriptions.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</si>
</sst>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\ yyyy"/>
    <numFmt numFmtId="166" formatCode="0"/>
    <numFmt numFmtId="167" formatCode="ddd\ d\ 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ED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>
          <bgColor rgb="FFF3EDE0"/>
        </patternFill>
      </fill>
    </dxf>
    <dxf>
      <fill>
        <patternFill>
          <bgColor rgb="FFD9EAD3"/>
        </patternFill>
      </fill>
    </dxf>
    <dxf>
      <fill>
        <patternFill>
          <bgColor rgb="FFCFE2F3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CC0000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DE0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rchive.org/details/arredondo-03-27-24-tao-te-ching-chap-1-the-gateway-of-marvels-3-27-2024" TargetMode="External"/><Relationship Id="rId3" Type="http://schemas.openxmlformats.org/officeDocument/2006/relationships/hyperlink" Target="https://archive.org/details/arredondo-03-27-24-tao-te-ching-chap-1-the-gateway-of-marvels-3-27-2024" TargetMode="External"/><Relationship Id="rId4" Type="http://schemas.openxmlformats.org/officeDocument/2006/relationships/hyperlink" Target="https://archive.org/details/arredondo-03-27-24-tao-te-ching-chap-1-the-gateway-of-marvels-3-27-2024" TargetMode="External"/><Relationship Id="rId5" Type="http://schemas.openxmlformats.org/officeDocument/2006/relationships/hyperlink" Target="https://archive.org/details/arredondo-03-28-24-tao-te-ching-chaps-2-3-when-everyone-knows-beauty-is-beauty" TargetMode="External"/><Relationship Id="rId6" Type="http://schemas.openxmlformats.org/officeDocument/2006/relationships/hyperlink" Target="https://archive.org/details/arredondo-03-28-24-tao-te-ching-chaps-2-3-when-everyone-knows-beauty-is-beauty" TargetMode="External"/><Relationship Id="rId7" Type="http://schemas.openxmlformats.org/officeDocument/2006/relationships/hyperlink" Target="https://archive.org/details/arredondo-03-28-24-tao-te-ching-chaps-2-3-when-everyone-knows-beauty-is-beauty" TargetMode="External"/><Relationship Id="rId8" Type="http://schemas.openxmlformats.org/officeDocument/2006/relationships/hyperlink" Target="https://archive.org/details/arredondo-03-28-24-tao-te-ching-chaps-2-3-when-everyone-knows-beauty-is-beauty" TargetMode="External"/><Relationship Id="rId9" Type="http://schemas.openxmlformats.org/officeDocument/2006/relationships/hyperlink" Target="https://archive.org/details/arredondo-03-28-24-tao-te-ching-chaps-2-3-when-everyone-knows-beauty-is-beauty" TargetMode="External"/><Relationship Id="rId10" Type="http://schemas.openxmlformats.org/officeDocument/2006/relationships/hyperlink" Target="https://archive.org/details/arredondo-03-28-24-tao-te-ching-chaps-2-3-when-everyone-knows-beauty-is-beauty" TargetMode="External"/><Relationship Id="rId11" Type="http://schemas.openxmlformats.org/officeDocument/2006/relationships/hyperlink" Target="https://archive.org/details/arredondo-03-31-24-tao-te-ching-chaps-4-5-the-way-is-unimpeded-harmony" TargetMode="External"/><Relationship Id="rId12" Type="http://schemas.openxmlformats.org/officeDocument/2006/relationships/hyperlink" Target="https://archive.org/details/arredondo-03-31-24-tao-te-ching-chaps-4-5-the-way-is-unimpeded-harmony" TargetMode="External"/><Relationship Id="rId13" Type="http://schemas.openxmlformats.org/officeDocument/2006/relationships/hyperlink" Target="https://archive.org/details/arredondo-03-31-24-tao-te-ching-chaps-4-5-the-way-is-unimpeded-harmony" TargetMode="External"/><Relationship Id="rId14" Type="http://schemas.openxmlformats.org/officeDocument/2006/relationships/hyperlink" Target="https://archive.org/details/arredondo-03-31-24-tao-te-ching-chaps-4-5-the-way-is-unimpeded-harmony" TargetMode="External"/><Relationship Id="rId15" Type="http://schemas.openxmlformats.org/officeDocument/2006/relationships/hyperlink" Target="https://archive.org/details/arredondo-03-31-24-tao-te-ching-chaps-4-5-the-way-is-unimpeded-harmony" TargetMode="External"/><Relationship Id="rId16" Type="http://schemas.openxmlformats.org/officeDocument/2006/relationships/hyperlink" Target="https://archive.org/details/arredondo-03-31-24-tao-te-ching-chaps-4-5-the-way-is-unimpeded-harmony" TargetMode="External"/><Relationship Id="rId17" Type="http://schemas.openxmlformats.org/officeDocument/2006/relationships/hyperlink" Target="https://archive.org/details/arredondo-04-03-24-tao-te-ching-chaps-6-8-the-opening-of-the-mysterious-female" TargetMode="External"/><Relationship Id="rId18" Type="http://schemas.openxmlformats.org/officeDocument/2006/relationships/hyperlink" Target="https://archive.org/details/arredondo-04-03-24-tao-te-ching-chaps-6-8-the-opening-of-the-mysterious-female" TargetMode="External"/><Relationship Id="rId19" Type="http://schemas.openxmlformats.org/officeDocument/2006/relationships/hyperlink" Target="https://archive.org/details/arredondo-04-03-24-tao-te-ching-chaps-6-8-the-opening-of-the-mysterious-female" TargetMode="External"/><Relationship Id="rId20" Type="http://schemas.openxmlformats.org/officeDocument/2006/relationships/hyperlink" Target="https://archive.org/details/arredondo-04-03-24-tao-te-ching-chaps-6-8-the-opening-of-the-mysterious-female" TargetMode="External"/><Relationship Id="rId21" Type="http://schemas.openxmlformats.org/officeDocument/2006/relationships/hyperlink" Target="https://archive.org/details/arredondo-04-03-24-tao-te-ching-chaps-6-8-the-opening-of-the-mysterious-female" TargetMode="External"/><Relationship Id="rId22" Type="http://schemas.openxmlformats.org/officeDocument/2006/relationships/hyperlink" Target="https://archive.org/details/arredondo-04-03-24-tao-te-ching-chaps-6-8-the-opening-of-the-mysterious-female" TargetMode="External"/><Relationship Id="rId23" Type="http://schemas.openxmlformats.org/officeDocument/2006/relationships/hyperlink" Target="https://archive.org/details/arredondo-04-03-24-tao-te-ching-chaps-6-8-the-opening-of-the-mysterious-female" TargetMode="External"/><Relationship Id="rId24" Type="http://schemas.openxmlformats.org/officeDocument/2006/relationships/hyperlink" Target="https://archive.org/details/arredondo-04-03-24-tao-te-ching-chaps-6-8-the-opening-of-the-mysterious-female" TargetMode="External"/><Relationship Id="rId25" Type="http://schemas.openxmlformats.org/officeDocument/2006/relationships/hyperlink" Target="https://archive.org/details/arredondo-04-03-24-tao-te-ching-chaps-6-8-the-opening-of-the-mysterious-female" TargetMode="External"/><Relationship Id="rId26" Type="http://schemas.openxmlformats.org/officeDocument/2006/relationships/hyperlink" Target="https://archive.org/details/arredondo-04-04-24-tao-te-ching-chaps-9-10-vitality-and-consciousness-april-4-2" TargetMode="External"/><Relationship Id="rId27" Type="http://schemas.openxmlformats.org/officeDocument/2006/relationships/hyperlink" Target="https://archive.org/details/arredondo-04-04-24-tao-te-ching-chaps-9-10-vitality-and-consciousness-april-4-2" TargetMode="External"/><Relationship Id="rId28" Type="http://schemas.openxmlformats.org/officeDocument/2006/relationships/hyperlink" Target="https://archive.org/details/arredondo-04-04-24-tao-te-ching-chaps-9-10-vitality-and-consciousness-april-4-2" TargetMode="External"/><Relationship Id="rId29" Type="http://schemas.openxmlformats.org/officeDocument/2006/relationships/hyperlink" Target="https://archive.org/details/arredondo-04-04-24-tao-te-ching-chaps-9-10-vitality-and-consciousness-april-4-2" TargetMode="External"/><Relationship Id="rId30" Type="http://schemas.openxmlformats.org/officeDocument/2006/relationships/hyperlink" Target="https://archive.org/details/arredondo-04-04-24-tao-te-ching-chaps-9-10-vitality-and-consciousness-april-4-2" TargetMode="External"/><Relationship Id="rId31" Type="http://schemas.openxmlformats.org/officeDocument/2006/relationships/hyperlink" Target="https://archive.org/details/arredondo-04-04-24-tao-te-ching-chaps-9-10-vitality-and-consciousness-april-4-2" TargetMode="External"/><Relationship Id="rId32" Type="http://schemas.openxmlformats.org/officeDocument/2006/relationships/hyperlink" Target="https://archive.org/details/arredondo-04-05-24-tao-te-ching-chaps-11-13-thirty-spokes-colors-favor-and-disg" TargetMode="External"/><Relationship Id="rId33" Type="http://schemas.openxmlformats.org/officeDocument/2006/relationships/hyperlink" Target="https://archive.org/details/arredondo-04-05-24-tao-te-ching-chaps-11-13-thirty-spokes-colors-favor-and-disg" TargetMode="External"/><Relationship Id="rId34" Type="http://schemas.openxmlformats.org/officeDocument/2006/relationships/hyperlink" Target="https://archive.org/details/arredondo-04-05-24-tao-te-ching-chaps-11-13-thirty-spokes-colors-favor-and-disg" TargetMode="External"/><Relationship Id="rId35" Type="http://schemas.openxmlformats.org/officeDocument/2006/relationships/hyperlink" Target="https://archive.org/details/arredondo-04-05-24-tao-te-ching-chaps-11-13-thirty-spokes-colors-favor-and-disg" TargetMode="External"/><Relationship Id="rId36" Type="http://schemas.openxmlformats.org/officeDocument/2006/relationships/hyperlink" Target="https://archive.org/details/arredondo-04-05-24-tao-te-ching-chaps-11-13-thirty-spokes-colors-favor-and-disg" TargetMode="External"/><Relationship Id="rId37" Type="http://schemas.openxmlformats.org/officeDocument/2006/relationships/hyperlink" Target="https://archive.org/details/arredondo-04-05-24-tao-te-ching-chaps-11-13-thirty-spokes-colors-favor-and-disg" TargetMode="External"/><Relationship Id="rId38" Type="http://schemas.openxmlformats.org/officeDocument/2006/relationships/hyperlink" Target="https://archive.org/details/arredondo-04-05-24-tao-te-ching-chaps-11-13-thirty-spokes-colors-favor-and-disg" TargetMode="External"/><Relationship Id="rId39" Type="http://schemas.openxmlformats.org/officeDocument/2006/relationships/hyperlink" Target="https://archive.org/details/arredondo-04-05-24-tao-te-ching-chaps-11-13-thirty-spokes-colors-favor-and-disg" TargetMode="External"/><Relationship Id="rId40" Type="http://schemas.openxmlformats.org/officeDocument/2006/relationships/hyperlink" Target="https://archive.org/details/arredondo-04-05-24-tao-te-ching-chaps-11-13-thirty-spokes-colors-favor-and-disg" TargetMode="External"/><Relationship Id="rId41" Type="http://schemas.openxmlformats.org/officeDocument/2006/relationships/hyperlink" Target="https://archive.org/details/arredondo-04-09-24-tao-te-ching-chaps-14-15-what-you-don-t-see-skilled-warriors" TargetMode="External"/><Relationship Id="rId42" Type="http://schemas.openxmlformats.org/officeDocument/2006/relationships/hyperlink" Target="https://archive.org/details/arredondo-04-09-24-tao-te-ching-chaps-14-15-what-you-don-t-see-skilled-warriors" TargetMode="External"/><Relationship Id="rId43" Type="http://schemas.openxmlformats.org/officeDocument/2006/relationships/hyperlink" Target="https://archive.org/details/arredondo-04-09-24-tao-te-ching-chaps-14-15-what-you-don-t-see-skilled-warriors" TargetMode="External"/><Relationship Id="rId44" Type="http://schemas.openxmlformats.org/officeDocument/2006/relationships/hyperlink" Target="https://archive.org/details/arredondo-04-09-24-tao-te-ching-chaps-14-15-what-you-don-t-see-skilled-warriors" TargetMode="External"/><Relationship Id="rId45" Type="http://schemas.openxmlformats.org/officeDocument/2006/relationships/hyperlink" Target="https://archive.org/details/arredondo-04-09-24-tao-te-ching-chaps-14-15-what-you-don-t-see-skilled-warriors" TargetMode="External"/><Relationship Id="rId46" Type="http://schemas.openxmlformats.org/officeDocument/2006/relationships/hyperlink" Target="https://archive.org/details/arredondo-04-09-24-tao-te-ching-chaps-14-15-what-you-don-t-see-skilled-warriors" TargetMode="External"/><Relationship Id="rId47" Type="http://schemas.openxmlformats.org/officeDocument/2006/relationships/hyperlink" Target="https://archive.org/details/arredondo-04-10-24-tao-te-ching-chaps-16-18-april-10-2024" TargetMode="External"/><Relationship Id="rId48" Type="http://schemas.openxmlformats.org/officeDocument/2006/relationships/hyperlink" Target="https://archive.org/details/arredondo-04-10-24-tao-te-ching-chaps-16-18-april-10-2024" TargetMode="External"/><Relationship Id="rId49" Type="http://schemas.openxmlformats.org/officeDocument/2006/relationships/hyperlink" Target="https://archive.org/details/arredondo-04-10-24-tao-te-ching-chaps-16-18-april-10-2024" TargetMode="External"/><Relationship Id="rId50" Type="http://schemas.openxmlformats.org/officeDocument/2006/relationships/hyperlink" Target="https://archive.org/details/arredondo-04-10-24-tao-te-ching-chaps-16-18-april-10-2024" TargetMode="External"/><Relationship Id="rId51" Type="http://schemas.openxmlformats.org/officeDocument/2006/relationships/hyperlink" Target="https://archive.org/details/arredondo-04-10-24-tao-te-ching-chaps-16-18-april-10-2024" TargetMode="External"/><Relationship Id="rId52" Type="http://schemas.openxmlformats.org/officeDocument/2006/relationships/hyperlink" Target="https://archive.org/details/arredondo-04-10-24-tao-te-ching-chaps-16-18-april-10-2024" TargetMode="External"/><Relationship Id="rId53" Type="http://schemas.openxmlformats.org/officeDocument/2006/relationships/hyperlink" Target="https://archive.org/details/arredondo-04-10-24-tao-te-ching-chaps-16-18-april-10-2024" TargetMode="External"/><Relationship Id="rId54" Type="http://schemas.openxmlformats.org/officeDocument/2006/relationships/hyperlink" Target="https://archive.org/details/arredondo-04-10-24-tao-te-ching-chaps-16-18-april-10-2024" TargetMode="External"/><Relationship Id="rId55" Type="http://schemas.openxmlformats.org/officeDocument/2006/relationships/hyperlink" Target="https://archive.org/details/arredondo-04-10-24-tao-te-ching-chaps-16-18-april-10-2024" TargetMode="External"/><Relationship Id="rId56" Type="http://schemas.openxmlformats.org/officeDocument/2006/relationships/hyperlink" Target="https://archive.org/details/arredondo-04-11-24-tao-te-ching-chaps-19-21-april-11-2024" TargetMode="External"/><Relationship Id="rId57" Type="http://schemas.openxmlformats.org/officeDocument/2006/relationships/hyperlink" Target="https://archive.org/details/arredondo-04-11-24-tao-te-ching-chaps-19-21-april-11-2024" TargetMode="External"/><Relationship Id="rId58" Type="http://schemas.openxmlformats.org/officeDocument/2006/relationships/hyperlink" Target="https://archive.org/details/arredondo-04-11-24-tao-te-ching-chaps-19-21-april-11-2024" TargetMode="External"/><Relationship Id="rId59" Type="http://schemas.openxmlformats.org/officeDocument/2006/relationships/hyperlink" Target="https://archive.org/details/arredondo-04-11-24-tao-te-ching-chaps-19-21-april-11-2024" TargetMode="External"/><Relationship Id="rId60" Type="http://schemas.openxmlformats.org/officeDocument/2006/relationships/hyperlink" Target="https://archive.org/details/arredondo-04-11-24-tao-te-ching-chaps-19-21-april-11-2024" TargetMode="External"/><Relationship Id="rId61" Type="http://schemas.openxmlformats.org/officeDocument/2006/relationships/hyperlink" Target="https://archive.org/details/arredondo-04-11-24-tao-te-ching-chaps-19-21-april-11-2024" TargetMode="External"/><Relationship Id="rId62" Type="http://schemas.openxmlformats.org/officeDocument/2006/relationships/hyperlink" Target="https://archive.org/details/arredondo-04-11-24-tao-te-ching-chaps-19-21-april-11-2024" TargetMode="External"/><Relationship Id="rId63" Type="http://schemas.openxmlformats.org/officeDocument/2006/relationships/hyperlink" Target="https://archive.org/details/arredondo-04-11-24-tao-te-ching-chaps-19-21-april-11-2024" TargetMode="External"/><Relationship Id="rId64" Type="http://schemas.openxmlformats.org/officeDocument/2006/relationships/hyperlink" Target="https://archive.org/details/arredondo-04-11-24-tao-te-ching-chaps-19-21-april-11-2024" TargetMode="External"/><Relationship Id="rId65" Type="http://schemas.openxmlformats.org/officeDocument/2006/relationships/hyperlink" Target="https://archive.org/details/arredondo-04-12-24-tao-te-ching-chaps-22-24-be-tactful-speak-rarely-those-on-ti" TargetMode="External"/><Relationship Id="rId66" Type="http://schemas.openxmlformats.org/officeDocument/2006/relationships/hyperlink" Target="https://archive.org/details/arredondo-04-12-24-tao-te-ching-chaps-22-24-be-tactful-speak-rarely-those-on-ti" TargetMode="External"/><Relationship Id="rId67" Type="http://schemas.openxmlformats.org/officeDocument/2006/relationships/hyperlink" Target="https://archive.org/details/arredondo-04-12-24-tao-te-ching-chaps-22-24-be-tactful-speak-rarely-those-on-ti" TargetMode="External"/><Relationship Id="rId68" Type="http://schemas.openxmlformats.org/officeDocument/2006/relationships/hyperlink" Target="https://archive.org/details/arredondo-04-12-24-tao-te-ching-chaps-22-24-be-tactful-speak-rarely-those-on-ti" TargetMode="External"/><Relationship Id="rId69" Type="http://schemas.openxmlformats.org/officeDocument/2006/relationships/hyperlink" Target="https://archive.org/details/arredondo-04-12-24-tao-te-ching-chaps-22-24-be-tactful-speak-rarely-those-on-ti" TargetMode="External"/><Relationship Id="rId70" Type="http://schemas.openxmlformats.org/officeDocument/2006/relationships/hyperlink" Target="https://archive.org/details/arredondo-04-12-24-tao-te-ching-chaps-22-24-be-tactful-speak-rarely-those-on-ti" TargetMode="External"/><Relationship Id="rId71" Type="http://schemas.openxmlformats.org/officeDocument/2006/relationships/hyperlink" Target="https://archive.org/details/arredondo-04-12-24-tao-te-ching-chaps-22-24-be-tactful-speak-rarely-those-on-ti" TargetMode="External"/><Relationship Id="rId72" Type="http://schemas.openxmlformats.org/officeDocument/2006/relationships/hyperlink" Target="https://archive.org/details/arredondo-04-12-24-tao-te-ching-chaps-22-24-be-tactful-speak-rarely-those-on-ti" TargetMode="External"/><Relationship Id="rId73" Type="http://schemas.openxmlformats.org/officeDocument/2006/relationships/hyperlink" Target="https://archive.org/details/arredondo-04-12-24-tao-te-ching-chaps-22-24-be-tactful-speak-rarely-those-on-ti" TargetMode="External"/><Relationship Id="rId74" Type="http://schemas.openxmlformats.org/officeDocument/2006/relationships/hyperlink" Target="https://archive.org/details/arredondo-04-18-24-tao-te-ching-chaps-25-27-undifferentiated-root-of-lightness" TargetMode="External"/><Relationship Id="rId75" Type="http://schemas.openxmlformats.org/officeDocument/2006/relationships/hyperlink" Target="https://archive.org/details/arredondo-04-18-24-tao-te-ching-chaps-25-27-undifferentiated-root-of-lightness" TargetMode="External"/><Relationship Id="rId76" Type="http://schemas.openxmlformats.org/officeDocument/2006/relationships/hyperlink" Target="https://archive.org/details/arredondo-04-18-24-tao-te-ching-chaps-25-27-undifferentiated-root-of-lightness" TargetMode="External"/><Relationship Id="rId77" Type="http://schemas.openxmlformats.org/officeDocument/2006/relationships/hyperlink" Target="https://archive.org/details/arredondo-04-18-24-tao-te-ching-chaps-25-27-undifferentiated-root-of-lightness" TargetMode="External"/><Relationship Id="rId78" Type="http://schemas.openxmlformats.org/officeDocument/2006/relationships/hyperlink" Target="https://archive.org/details/arredondo-04-18-24-tao-te-ching-chaps-25-27-undifferentiated-root-of-lightness" TargetMode="External"/><Relationship Id="rId79" Type="http://schemas.openxmlformats.org/officeDocument/2006/relationships/hyperlink" Target="https://archive.org/details/arredondo-04-18-24-tao-te-ching-chaps-25-27-undifferentiated-root-of-lightness" TargetMode="External"/><Relationship Id="rId80" Type="http://schemas.openxmlformats.org/officeDocument/2006/relationships/hyperlink" Target="https://archive.org/details/arredondo-04-18-24-tao-te-ching-chaps-25-27-undifferentiated-root-of-lightness" TargetMode="External"/><Relationship Id="rId81" Type="http://schemas.openxmlformats.org/officeDocument/2006/relationships/hyperlink" Target="https://archive.org/details/arredondo-04-18-24-tao-te-ching-chaps-25-27-undifferentiated-root-of-lightness" TargetMode="External"/><Relationship Id="rId82" Type="http://schemas.openxmlformats.org/officeDocument/2006/relationships/hyperlink" Target="https://archive.org/details/arredondo-04-18-24-tao-te-ching-chaps-25-27-undifferentiated-root-of-lightness" TargetMode="External"/><Relationship Id="rId83" Type="http://schemas.openxmlformats.org/officeDocument/2006/relationships/hyperlink" Target="https://archive.org/details/arredondo-04-19-24-tao-te-ching-chaps-28-30-keep-to-the-female-should-you-want" TargetMode="External"/><Relationship Id="rId84" Type="http://schemas.openxmlformats.org/officeDocument/2006/relationships/hyperlink" Target="https://archive.org/details/arredondo-04-19-24-tao-te-ching-chaps-28-30-keep-to-the-female-should-you-want" TargetMode="External"/><Relationship Id="rId85" Type="http://schemas.openxmlformats.org/officeDocument/2006/relationships/hyperlink" Target="https://archive.org/details/arredondo-04-19-24-tao-te-ching-chaps-28-30-keep-to-the-female-should-you-want" TargetMode="External"/><Relationship Id="rId86" Type="http://schemas.openxmlformats.org/officeDocument/2006/relationships/hyperlink" Target="https://archive.org/details/arredondo-04-19-24-tao-te-ching-chaps-28-30-keep-to-the-female-should-you-want" TargetMode="External"/><Relationship Id="rId87" Type="http://schemas.openxmlformats.org/officeDocument/2006/relationships/hyperlink" Target="https://archive.org/details/arredondo-04-19-24-tao-te-ching-chaps-28-30-keep-to-the-female-should-you-want" TargetMode="External"/><Relationship Id="rId88" Type="http://schemas.openxmlformats.org/officeDocument/2006/relationships/hyperlink" Target="https://archive.org/details/arredondo-04-19-24-tao-te-ching-chaps-28-30-keep-to-the-female-should-you-want" TargetMode="External"/><Relationship Id="rId89" Type="http://schemas.openxmlformats.org/officeDocument/2006/relationships/hyperlink" Target="https://archive.org/details/arredondo-04-19-24-tao-te-ching-chaps-28-30-keep-to-the-female-should-you-want" TargetMode="External"/><Relationship Id="rId90" Type="http://schemas.openxmlformats.org/officeDocument/2006/relationships/hyperlink" Target="https://archive.org/details/arredondo-04-19-24-tao-te-ching-chaps-28-30-keep-to-the-female-should-you-want" TargetMode="External"/><Relationship Id="rId91" Type="http://schemas.openxmlformats.org/officeDocument/2006/relationships/hyperlink" Target="https://archive.org/details/arredondo-04-19-24-tao-te-ching-chaps-28-30-keep-to-the-female-should-you-want" TargetMode="External"/><Relationship Id="rId92" Type="http://schemas.openxmlformats.org/officeDocument/2006/relationships/hyperlink" Target="https://archive.org/details/arredondo-04-19-24-tao-te-ching-chaps-31-33-fine-weapons-eternally-nameless-tho" TargetMode="External"/><Relationship Id="rId93" Type="http://schemas.openxmlformats.org/officeDocument/2006/relationships/hyperlink" Target="https://archive.org/details/arredondo-04-19-24-tao-te-ching-chaps-31-33-fine-weapons-eternally-nameless-tho" TargetMode="External"/><Relationship Id="rId94" Type="http://schemas.openxmlformats.org/officeDocument/2006/relationships/hyperlink" Target="https://archive.org/details/arredondo-04-19-24-tao-te-ching-chaps-31-33-fine-weapons-eternally-nameless-tho" TargetMode="External"/><Relationship Id="rId95" Type="http://schemas.openxmlformats.org/officeDocument/2006/relationships/hyperlink" Target="https://archive.org/details/arredondo-04-19-24-tao-te-ching-chaps-31-33-fine-weapons-eternally-nameless-tho" TargetMode="External"/><Relationship Id="rId96" Type="http://schemas.openxmlformats.org/officeDocument/2006/relationships/hyperlink" Target="https://archive.org/details/arredondo-04-19-24-tao-te-ching-chaps-31-33-fine-weapons-eternally-nameless-tho" TargetMode="External"/><Relationship Id="rId97" Type="http://schemas.openxmlformats.org/officeDocument/2006/relationships/hyperlink" Target="https://archive.org/details/arredondo-04-19-24-tao-te-ching-chaps-31-33-fine-weapons-eternally-nameless-tho" TargetMode="External"/><Relationship Id="rId98" Type="http://schemas.openxmlformats.org/officeDocument/2006/relationships/hyperlink" Target="https://archive.org/details/arredondo-04-19-24-tao-te-ching-chaps-31-33-fine-weapons-eternally-nameless-tho" TargetMode="External"/><Relationship Id="rId99" Type="http://schemas.openxmlformats.org/officeDocument/2006/relationships/hyperlink" Target="https://archive.org/details/arredondo-04-19-24-tao-te-ching-chaps-31-33-fine-weapons-eternally-nameless-tho" TargetMode="External"/><Relationship Id="rId100" Type="http://schemas.openxmlformats.org/officeDocument/2006/relationships/hyperlink" Target="https://archive.org/details/arredondo-04-19-24-tao-te-ching-chaps-31-33-fine-weapons-eternally-nameless-tho" TargetMode="External"/><Relationship Id="rId101" Type="http://schemas.openxmlformats.org/officeDocument/2006/relationships/hyperlink" Target="https://archive.org/details/arredondo-04-24-24-tao-te-ching-chaps-34-37-universal-great-image-contain-uncon" TargetMode="External"/><Relationship Id="rId102" Type="http://schemas.openxmlformats.org/officeDocument/2006/relationships/hyperlink" Target="https://archive.org/details/arredondo-04-24-24-tao-te-ching-chaps-34-37-universal-great-image-contain-uncon" TargetMode="External"/><Relationship Id="rId103" Type="http://schemas.openxmlformats.org/officeDocument/2006/relationships/hyperlink" Target="https://archive.org/details/arredondo-04-24-24-tao-te-ching-chaps-34-37-universal-great-image-contain-uncon" TargetMode="External"/><Relationship Id="rId104" Type="http://schemas.openxmlformats.org/officeDocument/2006/relationships/hyperlink" Target="https://archive.org/details/arredondo-04-24-24-tao-te-ching-chaps-34-37-universal-great-image-contain-uncon" TargetMode="External"/><Relationship Id="rId105" Type="http://schemas.openxmlformats.org/officeDocument/2006/relationships/hyperlink" Target="https://archive.org/details/arredondo-04-24-24-tao-te-ching-chaps-34-37-universal-great-image-contain-uncon" TargetMode="External"/><Relationship Id="rId106" Type="http://schemas.openxmlformats.org/officeDocument/2006/relationships/hyperlink" Target="https://archive.org/details/arredondo-04-24-24-tao-te-ching-chaps-34-37-universal-great-image-contain-uncon" TargetMode="External"/><Relationship Id="rId107" Type="http://schemas.openxmlformats.org/officeDocument/2006/relationships/hyperlink" Target="https://archive.org/details/arredondo-04-24-24-tao-te-ching-chaps-34-37-universal-great-image-contain-uncon" TargetMode="External"/><Relationship Id="rId108" Type="http://schemas.openxmlformats.org/officeDocument/2006/relationships/hyperlink" Target="https://archive.org/details/arredondo-04-24-24-tao-te-ching-chaps-34-37-universal-great-image-contain-uncon" TargetMode="External"/><Relationship Id="rId109" Type="http://schemas.openxmlformats.org/officeDocument/2006/relationships/hyperlink" Target="https://archive.org/details/arredondo-04-24-24-tao-te-ching-chaps-34-37-universal-great-image-contain-uncon" TargetMode="External"/><Relationship Id="rId110" Type="http://schemas.openxmlformats.org/officeDocument/2006/relationships/hyperlink" Target="https://archive.org/details/arredondo-04-24-24-tao-te-ching-chaps-34-37-universal-great-image-contain-uncon" TargetMode="External"/><Relationship Id="rId111" Type="http://schemas.openxmlformats.org/officeDocument/2006/relationships/hyperlink" Target="https://archive.org/details/arredondo-04-24-24-tao-te-ching-chaps-34-37-universal-great-image-contain-uncon" TargetMode="External"/><Relationship Id="rId112" Type="http://schemas.openxmlformats.org/officeDocument/2006/relationships/hyperlink" Target="https://archive.org/details/arredondo-04-24-24-tao-te-ching-chaps-34-37-universal-great-image-contain-uncon" TargetMode="External"/><Relationship Id="rId113" Type="http://schemas.openxmlformats.org/officeDocument/2006/relationships/hyperlink" Target="https://archive.org/details/arredondo-04-25-24-tao-te-ching-chaps-38-40-not-ingratiating-attaining-unity-mo" TargetMode="External"/><Relationship Id="rId114" Type="http://schemas.openxmlformats.org/officeDocument/2006/relationships/hyperlink" Target="https://archive.org/details/arredondo-04-25-24-tao-te-ching-chaps-38-40-not-ingratiating-attaining-unity-mo" TargetMode="External"/><Relationship Id="rId115" Type="http://schemas.openxmlformats.org/officeDocument/2006/relationships/hyperlink" Target="https://archive.org/details/arredondo-04-25-24-tao-te-ching-chaps-38-40-not-ingratiating-attaining-unity-mo" TargetMode="External"/><Relationship Id="rId116" Type="http://schemas.openxmlformats.org/officeDocument/2006/relationships/hyperlink" Target="https://archive.org/details/arredondo-04-25-24-tao-te-ching-chaps-38-40-not-ingratiating-attaining-unity-mo" TargetMode="External"/><Relationship Id="rId117" Type="http://schemas.openxmlformats.org/officeDocument/2006/relationships/hyperlink" Target="https://archive.org/details/arredondo-04-25-24-tao-te-ching-chaps-38-40-not-ingratiating-attaining-unity-mo" TargetMode="External"/><Relationship Id="rId118" Type="http://schemas.openxmlformats.org/officeDocument/2006/relationships/hyperlink" Target="https://archive.org/details/arredondo-04-25-24-tao-te-ching-chaps-38-40-not-ingratiating-attaining-unity-mo" TargetMode="External"/><Relationship Id="rId119" Type="http://schemas.openxmlformats.org/officeDocument/2006/relationships/hyperlink" Target="https://archive.org/details/arredondo-04-25-24-tao-te-ching-chaps-38-40-not-ingratiating-attaining-unity-mo" TargetMode="External"/><Relationship Id="rId120" Type="http://schemas.openxmlformats.org/officeDocument/2006/relationships/hyperlink" Target="https://archive.org/details/arredondo-04-25-24-tao-te-ching-chaps-38-40-not-ingratiating-attaining-unity-mo" TargetMode="External"/><Relationship Id="rId121" Type="http://schemas.openxmlformats.org/officeDocument/2006/relationships/hyperlink" Target="https://archive.org/details/arredondo-04-25-24-tao-te-ching-chaps-38-40-not-ingratiating-attaining-unity-mo" TargetMode="External"/><Relationship Id="rId122" Type="http://schemas.openxmlformats.org/officeDocument/2006/relationships/hyperlink" Target="https://archive.org/details/arredondo-04-27-24-tao-te-ching-chaps-41-43-when-superior-people-way-produces-o" TargetMode="External"/><Relationship Id="rId123" Type="http://schemas.openxmlformats.org/officeDocument/2006/relationships/hyperlink" Target="https://archive.org/details/arredondo-04-27-24-tao-te-ching-chaps-41-43-when-superior-people-way-produces-o" TargetMode="External"/><Relationship Id="rId124" Type="http://schemas.openxmlformats.org/officeDocument/2006/relationships/hyperlink" Target="https://archive.org/details/arredondo-04-27-24-tao-te-ching-chaps-41-43-when-superior-people-way-produces-o" TargetMode="External"/><Relationship Id="rId125" Type="http://schemas.openxmlformats.org/officeDocument/2006/relationships/hyperlink" Target="https://archive.org/details/arredondo-04-27-24-tao-te-ching-chaps-41-43-when-superior-people-way-produces-o" TargetMode="External"/><Relationship Id="rId126" Type="http://schemas.openxmlformats.org/officeDocument/2006/relationships/hyperlink" Target="https://archive.org/details/arredondo-04-27-24-tao-te-ching-chaps-41-43-when-superior-people-way-produces-o" TargetMode="External"/><Relationship Id="rId127" Type="http://schemas.openxmlformats.org/officeDocument/2006/relationships/hyperlink" Target="https://archive.org/details/arredondo-04-27-24-tao-te-ching-chaps-41-43-when-superior-people-way-produces-o" TargetMode="External"/><Relationship Id="rId128" Type="http://schemas.openxmlformats.org/officeDocument/2006/relationships/hyperlink" Target="https://archive.org/details/arredondo-04-27-24-tao-te-ching-chaps-41-43-when-superior-people-way-produces-o" TargetMode="External"/><Relationship Id="rId129" Type="http://schemas.openxmlformats.org/officeDocument/2006/relationships/hyperlink" Target="https://archive.org/details/arredondo-04-27-24-tao-te-ching-chaps-41-43-when-superior-people-way-produces-o" TargetMode="External"/><Relationship Id="rId130" Type="http://schemas.openxmlformats.org/officeDocument/2006/relationships/hyperlink" Target="https://archive.org/details/arredondo-04-27-24-tao-te-ching-chaps-41-43-when-superior-people-way-produces-o" TargetMode="External"/><Relationship Id="rId131" Type="http://schemas.openxmlformats.org/officeDocument/2006/relationships/hyperlink" Target="https://archive.org/details/arredondo-05-01-24-tao-te-ching-chaps-44-47-name-or-body-great-completeness-wor" TargetMode="External"/><Relationship Id="rId132" Type="http://schemas.openxmlformats.org/officeDocument/2006/relationships/hyperlink" Target="https://archive.org/details/arredondo-05-01-24-tao-te-ching-chaps-44-47-name-or-body-great-completeness-wor" TargetMode="External"/><Relationship Id="rId133" Type="http://schemas.openxmlformats.org/officeDocument/2006/relationships/hyperlink" Target="https://archive.org/details/arredondo-05-01-24-tao-te-ching-chaps-44-47-name-or-body-great-completeness-wor" TargetMode="External"/><Relationship Id="rId134" Type="http://schemas.openxmlformats.org/officeDocument/2006/relationships/hyperlink" Target="https://archive.org/details/arredondo-05-01-24-tao-te-ching-chaps-44-47-name-or-body-great-completeness-wor" TargetMode="External"/><Relationship Id="rId135" Type="http://schemas.openxmlformats.org/officeDocument/2006/relationships/hyperlink" Target="https://archive.org/details/arredondo-05-01-24-tao-te-ching-chaps-44-47-name-or-body-great-completeness-wor" TargetMode="External"/><Relationship Id="rId136" Type="http://schemas.openxmlformats.org/officeDocument/2006/relationships/hyperlink" Target="https://archive.org/details/arredondo-05-01-24-tao-te-ching-chaps-44-47-name-or-body-great-completeness-wor" TargetMode="External"/><Relationship Id="rId137" Type="http://schemas.openxmlformats.org/officeDocument/2006/relationships/hyperlink" Target="https://archive.org/details/arredondo-05-01-24-tao-te-ching-chaps-44-47-name-or-body-great-completeness-wor" TargetMode="External"/><Relationship Id="rId138" Type="http://schemas.openxmlformats.org/officeDocument/2006/relationships/hyperlink" Target="https://archive.org/details/arredondo-05-01-24-tao-te-ching-chaps-44-47-name-or-body-great-completeness-wor" TargetMode="External"/><Relationship Id="rId139" Type="http://schemas.openxmlformats.org/officeDocument/2006/relationships/hyperlink" Target="https://archive.org/details/arredondo-05-01-24-tao-te-ching-chaps-44-47-name-or-body-great-completeness-wor" TargetMode="External"/><Relationship Id="rId140" Type="http://schemas.openxmlformats.org/officeDocument/2006/relationships/hyperlink" Target="https://archive.org/details/arredondo-05-01-24-tao-te-ching-chaps-44-47-name-or-body-great-completeness-wor" TargetMode="External"/><Relationship Id="rId141" Type="http://schemas.openxmlformats.org/officeDocument/2006/relationships/hyperlink" Target="https://archive.org/details/arredondo-05-01-24-tao-te-ching-chaps-44-47-name-or-body-great-completeness-wor" TargetMode="External"/><Relationship Id="rId142" Type="http://schemas.openxmlformats.org/officeDocument/2006/relationships/hyperlink" Target="https://archive.org/details/arredondo-05-01-24-tao-te-ching-chaps-44-47-name-or-body-great-completeness-wor" TargetMode="External"/><Relationship Id="rId143" Type="http://schemas.openxmlformats.org/officeDocument/2006/relationships/hyperlink" Target="https://archive.org/details/arredondo-05-01-24-tao-te-ching-chaps-44-47-name-or-body-great-completeness-wor" TargetMode="External"/><Relationship Id="rId144" Type="http://schemas.openxmlformats.org/officeDocument/2006/relationships/hyperlink" Target="https://archive.org/details/arredondo-05-01-24-tao-te-ching-chaps-44-47-name-or-body-great-completeness-wor" TargetMode="External"/><Relationship Id="rId145" Type="http://schemas.openxmlformats.org/officeDocument/2006/relationships/hyperlink" Target="https://archive.org/details/arredondo-05-01-24-tao-te-ching-chaps-44-47-name-or-body-great-completeness-wor" TargetMode="External"/><Relationship Id="rId146" Type="http://schemas.openxmlformats.org/officeDocument/2006/relationships/hyperlink" Target="https://archive.org/details/arredondo-05-03-24-tao-te-ching-chaps-48-50-gain-daily-sages-no-fixed-mind-from" TargetMode="External"/><Relationship Id="rId147" Type="http://schemas.openxmlformats.org/officeDocument/2006/relationships/hyperlink" Target="https://archive.org/details/arredondo-05-03-24-tao-te-ching-chaps-48-50-gain-daily-sages-no-fixed-mind-from" TargetMode="External"/><Relationship Id="rId148" Type="http://schemas.openxmlformats.org/officeDocument/2006/relationships/hyperlink" Target="https://archive.org/details/arredondo-05-03-24-tao-te-ching-chaps-48-50-gain-daily-sages-no-fixed-mind-from" TargetMode="External"/><Relationship Id="rId149" Type="http://schemas.openxmlformats.org/officeDocument/2006/relationships/hyperlink" Target="https://archive.org/details/arredondo-05-03-24-tao-te-ching-chaps-48-50-gain-daily-sages-no-fixed-mind-from" TargetMode="External"/><Relationship Id="rId150" Type="http://schemas.openxmlformats.org/officeDocument/2006/relationships/hyperlink" Target="https://archive.org/details/arredondo-05-03-24-tao-te-ching-chaps-48-50-gain-daily-sages-no-fixed-mind-from" TargetMode="External"/><Relationship Id="rId151" Type="http://schemas.openxmlformats.org/officeDocument/2006/relationships/hyperlink" Target="https://archive.org/details/arredondo-05-03-24-tao-te-ching-chaps-48-50-gain-daily-sages-no-fixed-mind-from" TargetMode="External"/><Relationship Id="rId152" Type="http://schemas.openxmlformats.org/officeDocument/2006/relationships/hyperlink" Target="https://archive.org/details/arredondo-05-03-24-tao-te-ching-chaps-48-50-gain-daily-sages-no-fixed-mind-from" TargetMode="External"/><Relationship Id="rId153" Type="http://schemas.openxmlformats.org/officeDocument/2006/relationships/hyperlink" Target="https://archive.org/details/arredondo-05-03-24-tao-te-ching-chaps-48-50-gain-daily-sages-no-fixed-mind-from" TargetMode="External"/><Relationship Id="rId154" Type="http://schemas.openxmlformats.org/officeDocument/2006/relationships/hyperlink" Target="https://archive.org/details/arredondo-05-03-24-tao-te-ching-chaps-48-50-gain-daily-sages-no-fixed-mind-from" TargetMode="External"/><Relationship Id="rId155" Type="http://schemas.openxmlformats.org/officeDocument/2006/relationships/hyperlink" Target="https://archive.org/details/arredondo-05-06-24-tao-te-ching-chaps-51-54-gives-birth-world-beginning-flashes" TargetMode="External"/><Relationship Id="rId156" Type="http://schemas.openxmlformats.org/officeDocument/2006/relationships/hyperlink" Target="https://archive.org/details/arredondo-05-06-24-tao-te-ching-chaps-51-54-gives-birth-world-beginning-flashes" TargetMode="External"/><Relationship Id="rId157" Type="http://schemas.openxmlformats.org/officeDocument/2006/relationships/hyperlink" Target="https://archive.org/details/arredondo-05-06-24-tao-te-ching-chaps-51-54-gives-birth-world-beginning-flashes" TargetMode="External"/><Relationship Id="rId158" Type="http://schemas.openxmlformats.org/officeDocument/2006/relationships/hyperlink" Target="https://archive.org/details/arredondo-05-06-24-tao-te-ching-chaps-51-54-gives-birth-world-beginning-flashes" TargetMode="External"/><Relationship Id="rId159" Type="http://schemas.openxmlformats.org/officeDocument/2006/relationships/hyperlink" Target="https://archive.org/details/arredondo-05-06-24-tao-te-ching-chaps-51-54-gives-birth-world-beginning-flashes" TargetMode="External"/><Relationship Id="rId160" Type="http://schemas.openxmlformats.org/officeDocument/2006/relationships/hyperlink" Target="https://archive.org/details/arredondo-05-06-24-tao-te-ching-chaps-51-54-gives-birth-world-beginning-flashes" TargetMode="External"/><Relationship Id="rId161" Type="http://schemas.openxmlformats.org/officeDocument/2006/relationships/hyperlink" Target="https://archive.org/details/arredondo-05-06-24-tao-te-ching-chaps-51-54-gives-birth-world-beginning-flashes" TargetMode="External"/><Relationship Id="rId162" Type="http://schemas.openxmlformats.org/officeDocument/2006/relationships/hyperlink" Target="https://archive.org/details/arredondo-05-06-24-tao-te-ching-chaps-51-54-gives-birth-world-beginning-flashes" TargetMode="External"/><Relationship Id="rId163" Type="http://schemas.openxmlformats.org/officeDocument/2006/relationships/hyperlink" Target="https://archive.org/details/arredondo-05-06-24-tao-te-ching-chaps-51-54-gives-birth-world-beginning-flashes" TargetMode="External"/><Relationship Id="rId164" Type="http://schemas.openxmlformats.org/officeDocument/2006/relationships/hyperlink" Target="https://archive.org/details/arredondo-05-07-24-tao-te-ching-chaps-55-58-subliminal-those-who-know-govern-un" TargetMode="External"/><Relationship Id="rId165" Type="http://schemas.openxmlformats.org/officeDocument/2006/relationships/hyperlink" Target="https://archive.org/details/arredondo-05-07-24-tao-te-ching-chaps-55-58-subliminal-those-who-know-govern-un" TargetMode="External"/><Relationship Id="rId166" Type="http://schemas.openxmlformats.org/officeDocument/2006/relationships/hyperlink" Target="https://archive.org/details/arredondo-05-07-24-tao-te-ching-chaps-55-58-subliminal-those-who-know-govern-un" TargetMode="External"/><Relationship Id="rId167" Type="http://schemas.openxmlformats.org/officeDocument/2006/relationships/hyperlink" Target="https://archive.org/details/arredondo-05-07-24-tao-te-ching-chaps-55-58-subliminal-those-who-know-govern-un" TargetMode="External"/><Relationship Id="rId168" Type="http://schemas.openxmlformats.org/officeDocument/2006/relationships/hyperlink" Target="https://archive.org/details/arredondo-05-07-24-tao-te-ching-chaps-55-58-subliminal-those-who-know-govern-un" TargetMode="External"/><Relationship Id="rId169" Type="http://schemas.openxmlformats.org/officeDocument/2006/relationships/hyperlink" Target="https://archive.org/details/arredondo-05-07-24-tao-te-ching-chaps-55-58-subliminal-those-who-know-govern-un" TargetMode="External"/><Relationship Id="rId170" Type="http://schemas.openxmlformats.org/officeDocument/2006/relationships/hyperlink" Target="https://archive.org/details/arredondo-05-07-24-tao-te-ching-chaps-55-58-subliminal-those-who-know-govern-un" TargetMode="External"/><Relationship Id="rId171" Type="http://schemas.openxmlformats.org/officeDocument/2006/relationships/hyperlink" Target="https://archive.org/details/arredondo-05-07-24-tao-te-ching-chaps-55-58-subliminal-those-who-know-govern-un" TargetMode="External"/><Relationship Id="rId172" Type="http://schemas.openxmlformats.org/officeDocument/2006/relationships/hyperlink" Target="https://archive.org/details/arredondo-05-07-24-tao-te-ching-chaps-55-58-subliminal-those-who-know-govern-un" TargetMode="External"/><Relationship Id="rId173" Type="http://schemas.openxmlformats.org/officeDocument/2006/relationships/hyperlink" Target="https://archive.org/details/arredondo-05-07-24-tao-te-ching-chaps-55-58-subliminal-those-who-know-govern-un" TargetMode="External"/><Relationship Id="rId174" Type="http://schemas.openxmlformats.org/officeDocument/2006/relationships/hyperlink" Target="https://archive.org/details/arredondo-05-07-24-tao-te-ching-chaps-55-58-subliminal-those-who-know-govern-un" TargetMode="External"/><Relationship Id="rId175" Type="http://schemas.openxmlformats.org/officeDocument/2006/relationships/hyperlink" Target="https://archive.org/details/arredondo-05-07-24-tao-te-ching-chaps-55-58-subliminal-those-who-know-govern-un" TargetMode="External"/><Relationship Id="rId176" Type="http://schemas.openxmlformats.org/officeDocument/2006/relationships/hyperlink" Target="https://archive.org/details/arredondo-05-08-24-tao-te-ching-chaps-59-62-govern-the-human-small-fry-great-na" TargetMode="External"/><Relationship Id="rId177" Type="http://schemas.openxmlformats.org/officeDocument/2006/relationships/hyperlink" Target="https://archive.org/details/arredondo-05-08-24-tao-te-ching-chaps-59-62-govern-the-human-small-fry-great-na" TargetMode="External"/><Relationship Id="rId178" Type="http://schemas.openxmlformats.org/officeDocument/2006/relationships/hyperlink" Target="https://archive.org/details/arredondo-05-08-24-tao-te-ching-chaps-59-62-govern-the-human-small-fry-great-na" TargetMode="External"/><Relationship Id="rId179" Type="http://schemas.openxmlformats.org/officeDocument/2006/relationships/hyperlink" Target="https://archive.org/details/arredondo-05-08-24-tao-te-ching-chaps-59-62-govern-the-human-small-fry-great-na" TargetMode="External"/><Relationship Id="rId180" Type="http://schemas.openxmlformats.org/officeDocument/2006/relationships/hyperlink" Target="https://archive.org/details/arredondo-05-08-24-tao-te-ching-chaps-59-62-govern-the-human-small-fry-great-na" TargetMode="External"/><Relationship Id="rId181" Type="http://schemas.openxmlformats.org/officeDocument/2006/relationships/hyperlink" Target="https://archive.org/details/arredondo-05-08-24-tao-te-ching-chaps-59-62-govern-the-human-small-fry-great-na" TargetMode="External"/><Relationship Id="rId182" Type="http://schemas.openxmlformats.org/officeDocument/2006/relationships/hyperlink" Target="https://archive.org/details/arredondo-05-08-24-tao-te-ching-chaps-59-62-govern-the-human-small-fry-great-na" TargetMode="External"/><Relationship Id="rId183" Type="http://schemas.openxmlformats.org/officeDocument/2006/relationships/hyperlink" Target="https://archive.org/details/arredondo-05-08-24-tao-te-ching-chaps-59-62-govern-the-human-small-fry-great-na" TargetMode="External"/><Relationship Id="rId184" Type="http://schemas.openxmlformats.org/officeDocument/2006/relationships/hyperlink" Target="https://archive.org/details/arredondo-05-08-24-tao-te-ching-chaps-59-62-govern-the-human-small-fry-great-na" TargetMode="External"/><Relationship Id="rId185" Type="http://schemas.openxmlformats.org/officeDocument/2006/relationships/hyperlink" Target="https://archive.org/details/arredondo-05-08-24-tao-te-ching-chaps-59-62-govern-the-human-small-fry-great-na" TargetMode="External"/><Relationship Id="rId186" Type="http://schemas.openxmlformats.org/officeDocument/2006/relationships/hyperlink" Target="https://archive.org/details/arredondo-05-08-24-tao-te-ching-chaps-59-62-govern-the-human-small-fry-great-na" TargetMode="External"/><Relationship Id="rId187" Type="http://schemas.openxmlformats.org/officeDocument/2006/relationships/hyperlink" Target="https://archive.org/details/arredondo-05-08-24-tao-te-ching-chaps-59-62-govern-the-human-small-fry-great-na" TargetMode="External"/><Relationship Id="rId188" Type="http://schemas.openxmlformats.org/officeDocument/2006/relationships/hyperlink" Target="https://archive.org/details/arredondo-05-09-24-tao-te-ching-chaps-63-65-do-non-doing-what-is-at-rest-good-p" TargetMode="External"/><Relationship Id="rId189" Type="http://schemas.openxmlformats.org/officeDocument/2006/relationships/hyperlink" Target="https://archive.org/details/arredondo-05-09-24-tao-te-ching-chaps-63-65-do-non-doing-what-is-at-rest-good-p" TargetMode="External"/><Relationship Id="rId190" Type="http://schemas.openxmlformats.org/officeDocument/2006/relationships/hyperlink" Target="https://archive.org/details/arredondo-05-09-24-tao-te-ching-chaps-63-65-do-non-doing-what-is-at-rest-good-p" TargetMode="External"/><Relationship Id="rId191" Type="http://schemas.openxmlformats.org/officeDocument/2006/relationships/hyperlink" Target="https://archive.org/details/arredondo-05-09-24-tao-te-ching-chaps-63-65-do-non-doing-what-is-at-rest-good-p" TargetMode="External"/><Relationship Id="rId192" Type="http://schemas.openxmlformats.org/officeDocument/2006/relationships/hyperlink" Target="https://archive.org/details/arredondo-05-09-24-tao-te-ching-chaps-63-65-do-non-doing-what-is-at-rest-good-p" TargetMode="External"/><Relationship Id="rId193" Type="http://schemas.openxmlformats.org/officeDocument/2006/relationships/hyperlink" Target="https://archive.org/details/arredondo-05-09-24-tao-te-ching-chaps-63-65-do-non-doing-what-is-at-rest-good-p" TargetMode="External"/><Relationship Id="rId194" Type="http://schemas.openxmlformats.org/officeDocument/2006/relationships/hyperlink" Target="https://archive.org/details/arredondo-05-09-24-tao-te-ching-chaps-63-65-do-non-doing-what-is-at-rest-good-p" TargetMode="External"/><Relationship Id="rId195" Type="http://schemas.openxmlformats.org/officeDocument/2006/relationships/hyperlink" Target="https://archive.org/details/arredondo-05-09-24-tao-te-ching-chaps-63-65-do-non-doing-what-is-at-rest-good-p" TargetMode="External"/><Relationship Id="rId196" Type="http://schemas.openxmlformats.org/officeDocument/2006/relationships/hyperlink" Target="https://archive.org/details/arredondo-05-09-24-tao-te-ching-chaps-63-65-do-non-doing-what-is-at-rest-good-p" TargetMode="External"/><Relationship Id="rId197" Type="http://schemas.openxmlformats.org/officeDocument/2006/relationships/hyperlink" Target="https://archive.org/details/arredondo-05-09-24-tao-te-ching-chaps-63-65-do-non-doing-what-is-at-rest-good-p" TargetMode="External"/><Relationship Id="rId198" Type="http://schemas.openxmlformats.org/officeDocument/2006/relationships/hyperlink" Target="https://archive.org/details/arredondo-05-09-24-tao-te-ching-chaps-63-65-do-non-doing-what-is-at-rest-good-p" TargetMode="External"/><Relationship Id="rId199" Type="http://schemas.openxmlformats.org/officeDocument/2006/relationships/hyperlink" Target="https://archive.org/details/arredondo-05-09-24-tao-te-ching-chaps-63-65-do-non-doing-what-is-at-rest-good-p" TargetMode="External"/><Relationship Id="rId200" Type="http://schemas.openxmlformats.org/officeDocument/2006/relationships/hyperlink" Target="https://archive.org/details/arredondo-05-10-24-tao-te-ching-chaps-66-69-rivers-seas-everyone-says-warriors" TargetMode="External"/><Relationship Id="rId201" Type="http://schemas.openxmlformats.org/officeDocument/2006/relationships/hyperlink" Target="https://archive.org/details/arredondo-05-10-24-tao-te-ching-chaps-66-69-rivers-seas-everyone-says-warriors" TargetMode="External"/><Relationship Id="rId202" Type="http://schemas.openxmlformats.org/officeDocument/2006/relationships/hyperlink" Target="https://archive.org/details/arredondo-05-10-24-tao-te-ching-chaps-66-69-rivers-seas-everyone-says-warriors" TargetMode="External"/><Relationship Id="rId203" Type="http://schemas.openxmlformats.org/officeDocument/2006/relationships/hyperlink" Target="https://archive.org/details/arredondo-05-10-24-tao-te-ching-chaps-66-69-rivers-seas-everyone-says-warriors" TargetMode="External"/><Relationship Id="rId204" Type="http://schemas.openxmlformats.org/officeDocument/2006/relationships/hyperlink" Target="https://archive.org/details/arredondo-05-10-24-tao-te-ching-chaps-66-69-rivers-seas-everyone-says-warriors" TargetMode="External"/><Relationship Id="rId205" Type="http://schemas.openxmlformats.org/officeDocument/2006/relationships/hyperlink" Target="https://archive.org/details/arredondo-05-10-24-tao-te-ching-chaps-66-69-rivers-seas-everyone-says-warriors" TargetMode="External"/><Relationship Id="rId206" Type="http://schemas.openxmlformats.org/officeDocument/2006/relationships/hyperlink" Target="https://archive.org/details/arredondo-05-10-24-tao-te-ching-chaps-66-69-rivers-seas-everyone-says-warriors" TargetMode="External"/><Relationship Id="rId207" Type="http://schemas.openxmlformats.org/officeDocument/2006/relationships/hyperlink" Target="https://archive.org/details/arredondo-05-10-24-tao-te-ching-chaps-66-69-rivers-seas-everyone-says-warriors" TargetMode="External"/><Relationship Id="rId208" Type="http://schemas.openxmlformats.org/officeDocument/2006/relationships/hyperlink" Target="https://archive.org/details/arredondo-05-10-24-tao-te-ching-chaps-66-69-rivers-seas-everyone-says-warriors" TargetMode="External"/><Relationship Id="rId209" Type="http://schemas.openxmlformats.org/officeDocument/2006/relationships/hyperlink" Target="https://archive.org/details/arredondo-05-16-24-tao-te-ching-chaps-70-73-my-sayings-knowing-unconsciously-no" TargetMode="External"/><Relationship Id="rId210" Type="http://schemas.openxmlformats.org/officeDocument/2006/relationships/hyperlink" Target="https://archive.org/details/arredondo-05-16-24-tao-te-ching-chaps-70-73-my-sayings-knowing-unconsciously-no" TargetMode="External"/><Relationship Id="rId211" Type="http://schemas.openxmlformats.org/officeDocument/2006/relationships/hyperlink" Target="https://archive.org/details/arredondo-05-16-24-tao-te-ching-chaps-70-73-my-sayings-knowing-unconsciously-no" TargetMode="External"/><Relationship Id="rId212" Type="http://schemas.openxmlformats.org/officeDocument/2006/relationships/hyperlink" Target="https://archive.org/details/arredondo-05-16-24-tao-te-ching-chaps-70-73-my-sayings-knowing-unconsciously-no" TargetMode="External"/><Relationship Id="rId213" Type="http://schemas.openxmlformats.org/officeDocument/2006/relationships/hyperlink" Target="https://archive.org/details/arredondo-05-16-24-tao-te-ching-chaps-70-73-my-sayings-knowing-unconsciously-no" TargetMode="External"/><Relationship Id="rId214" Type="http://schemas.openxmlformats.org/officeDocument/2006/relationships/hyperlink" Target="https://archive.org/details/arredondo-05-16-24-tao-te-ching-chaps-70-73-my-sayings-knowing-unconsciously-no" TargetMode="External"/><Relationship Id="rId215" Type="http://schemas.openxmlformats.org/officeDocument/2006/relationships/hyperlink" Target="https://archive.org/details/arredondo-05-16-24-tao-te-ching-chaps-70-73-my-sayings-knowing-unconsciously-no" TargetMode="External"/><Relationship Id="rId216" Type="http://schemas.openxmlformats.org/officeDocument/2006/relationships/hyperlink" Target="https://archive.org/details/arredondo-05-16-24-tao-te-ching-chaps-70-73-my-sayings-knowing-unconsciously-no" TargetMode="External"/><Relationship Id="rId217" Type="http://schemas.openxmlformats.org/officeDocument/2006/relationships/hyperlink" Target="https://archive.org/details/arredondo-05-16-24-tao-te-ching-chaps-70-73-my-sayings-knowing-unconsciously-no" TargetMode="External"/><Relationship Id="rId218" Type="http://schemas.openxmlformats.org/officeDocument/2006/relationships/hyperlink" Target="https://archive.org/details/arredondo-05-16-24-tao-te-ching-chaps-70-73-my-sayings-knowing-unconsciously-no" TargetMode="External"/><Relationship Id="rId219" Type="http://schemas.openxmlformats.org/officeDocument/2006/relationships/hyperlink" Target="https://archive.org/details/arredondo-05-16-24-tao-te-ching-chaps-70-73-my-sayings-knowing-unconsciously-no" TargetMode="External"/><Relationship Id="rId220" Type="http://schemas.openxmlformats.org/officeDocument/2006/relationships/hyperlink" Target="https://archive.org/details/arredondo-05-16-24-tao-te-ching-chaps-70-73-my-sayings-knowing-unconsciously-no" TargetMode="External"/><Relationship Id="rId221" Type="http://schemas.openxmlformats.org/officeDocument/2006/relationships/hyperlink" Target="https://archive.org/details/arredondo-05-16-24-tao-te-ching-chaps-70-73-my-sayings-knowing-unconsciously-no" TargetMode="External"/><Relationship Id="rId222" Type="http://schemas.openxmlformats.org/officeDocument/2006/relationships/hyperlink" Target="https://archive.org/details/arredondo-05-16-24-tao-te-ching-chaps-70-73-my-sayings-knowing-unconsciously-no" TargetMode="External"/><Relationship Id="rId223" Type="http://schemas.openxmlformats.org/officeDocument/2006/relationships/hyperlink" Target="https://archive.org/details/arredondo-05-16-24-tao-te-ching-chaps-70-73-my-sayings-knowing-unconsciously-no" TargetMode="External"/><Relationship Id="rId224" Type="http://schemas.openxmlformats.org/officeDocument/2006/relationships/hyperlink" Target="https://archive.org/details/arredondo-05-16-24-tao-te-ching-chaps-75-78-starvation-people-are-born-way-of-h" TargetMode="External"/><Relationship Id="rId225" Type="http://schemas.openxmlformats.org/officeDocument/2006/relationships/hyperlink" Target="https://archive.org/details/arredondo-05-16-24-tao-te-ching-chaps-75-78-starvation-people-are-born-way-of-h" TargetMode="External"/><Relationship Id="rId226" Type="http://schemas.openxmlformats.org/officeDocument/2006/relationships/hyperlink" Target="https://archive.org/details/arredondo-05-16-24-tao-te-ching-chaps-75-78-starvation-people-are-born-way-of-h" TargetMode="External"/><Relationship Id="rId227" Type="http://schemas.openxmlformats.org/officeDocument/2006/relationships/hyperlink" Target="https://archive.org/details/arredondo-05-16-24-tao-te-ching-chaps-75-78-starvation-people-are-born-way-of-h" TargetMode="External"/><Relationship Id="rId228" Type="http://schemas.openxmlformats.org/officeDocument/2006/relationships/hyperlink" Target="https://archive.org/details/arredondo-05-16-24-tao-te-ching-chaps-75-78-starvation-people-are-born-way-of-h" TargetMode="External"/><Relationship Id="rId229" Type="http://schemas.openxmlformats.org/officeDocument/2006/relationships/hyperlink" Target="https://archive.org/details/arredondo-05-16-24-tao-te-ching-chaps-75-78-starvation-people-are-born-way-of-h" TargetMode="External"/><Relationship Id="rId230" Type="http://schemas.openxmlformats.org/officeDocument/2006/relationships/hyperlink" Target="https://archive.org/details/arredondo-05-16-24-tao-te-ching-chaps-75-78-starvation-people-are-born-way-of-h" TargetMode="External"/><Relationship Id="rId231" Type="http://schemas.openxmlformats.org/officeDocument/2006/relationships/hyperlink" Target="https://archive.org/details/arredondo-05-16-24-tao-te-ching-chaps-75-78-starvation-people-are-born-way-of-h" TargetMode="External"/><Relationship Id="rId232" Type="http://schemas.openxmlformats.org/officeDocument/2006/relationships/hyperlink" Target="https://archive.org/details/arredondo-05-16-24-tao-te-ching-chaps-75-78-starvation-people-are-born-way-of-h" TargetMode="External"/><Relationship Id="rId233" Type="http://schemas.openxmlformats.org/officeDocument/2006/relationships/hyperlink" Target="https://archive.org/details/arredondo-05-16-24-tao-te-ching-chaps-75-78-starvation-people-are-born-way-of-h" TargetMode="External"/><Relationship Id="rId234" Type="http://schemas.openxmlformats.org/officeDocument/2006/relationships/hyperlink" Target="https://archive.org/details/arredondo-05-16-24-tao-te-ching-chaps-75-78-starvation-people-are-born-way-of-h" TargetMode="External"/><Relationship Id="rId235" Type="http://schemas.openxmlformats.org/officeDocument/2006/relationships/hyperlink" Target="https://archive.org/details/arredondo-05-16-24-tao-te-ching-chaps-75-78-starvation-people-are-born-way-of-h" TargetMode="External"/><Relationship Id="rId236" Type="http://schemas.openxmlformats.org/officeDocument/2006/relationships/hyperlink" Target="https://archive.org/details/arredondo-05-29-24-tao-te-ching-chaps-79-81-bitter-enemies-a-small-state-true-w" TargetMode="External"/><Relationship Id="rId237" Type="http://schemas.openxmlformats.org/officeDocument/2006/relationships/hyperlink" Target="https://archive.org/details/arredondo-05-29-24-tao-te-ching-chaps-79-81-bitter-enemies-a-small-state-true-w" TargetMode="External"/><Relationship Id="rId238" Type="http://schemas.openxmlformats.org/officeDocument/2006/relationships/hyperlink" Target="https://archive.org/details/arredondo-05-29-24-tao-te-ching-chaps-79-81-bitter-enemies-a-small-state-true-w" TargetMode="External"/><Relationship Id="rId239" Type="http://schemas.openxmlformats.org/officeDocument/2006/relationships/hyperlink" Target="https://archive.org/details/arredondo-05-29-24-tao-te-ching-chaps-79-81-bitter-enemies-a-small-state-true-w" TargetMode="External"/><Relationship Id="rId240" Type="http://schemas.openxmlformats.org/officeDocument/2006/relationships/hyperlink" Target="https://archive.org/details/arredondo-05-29-24-tao-te-ching-chaps-79-81-bitter-enemies-a-small-state-true-w" TargetMode="External"/><Relationship Id="rId241" Type="http://schemas.openxmlformats.org/officeDocument/2006/relationships/hyperlink" Target="https://archive.org/details/arredondo-05-29-24-tao-te-ching-chaps-79-81-bitter-enemies-a-small-state-true-w" TargetMode="External"/><Relationship Id="rId242" Type="http://schemas.openxmlformats.org/officeDocument/2006/relationships/hyperlink" Target="https://archive.org/details/arredondo-05-29-24-tao-te-ching-chaps-79-81-bitter-enemies-a-small-state-true-w" TargetMode="External"/><Relationship Id="rId243" Type="http://schemas.openxmlformats.org/officeDocument/2006/relationships/hyperlink" Target="https://archive.org/details/arredondo-05-29-24-tao-te-ching-chaps-79-81-bitter-enemies-a-small-state-true-w" TargetMode="External"/><Relationship Id="rId244" Type="http://schemas.openxmlformats.org/officeDocument/2006/relationships/hyperlink" Target="https://archive.org/details/arredondo-05-29-24-tao-te-ching-chaps-79-81-bitter-enemies-a-small-state-true-w" TargetMode="External"/><Relationship Id="rId245" Type="http://schemas.openxmlformats.org/officeDocument/2006/relationships/drawing" Target="../drawings/drawing1.xml"/><Relationship Id="rId24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52"/>
    <col collapsed="false" customWidth="true" hidden="false" outlineLevel="0" max="10" min="10" style="0" width="13"/>
    <col collapsed="false" customWidth="true" hidden="false" outlineLevel="0" max="11" min="11" style="0" width="44"/>
    <col collapsed="false" customWidth="true" hidden="false" outlineLevel="0" max="12" min="12" style="0" width="4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f aca="false">INT((A2-1)/3)+1</f>
        <v>1</v>
      </c>
      <c r="C2" s="3" t="n">
        <v>1</v>
      </c>
      <c r="D2" s="2" t="s">
        <v>12</v>
      </c>
      <c r="E2" s="2" t="s">
        <v>13</v>
      </c>
      <c r="F2" s="2" t="str">
        <f aca="false">TEXT(G2,"ddd")</f>
        <v>Fri</v>
      </c>
      <c r="G2" s="4" t="n">
        <f aca="false">Settings!$B$4+(B2-1)*Settings!$B$11+INDEX(Settings!$B$7:$B$9,MATCH(E2,Settings!$A$7:$A$9,0))</f>
        <v>46318</v>
      </c>
      <c r="H2" s="5"/>
      <c r="I2" s="6" t="s">
        <v>14</v>
      </c>
      <c r="J2" s="2" t="s">
        <v>15</v>
      </c>
      <c r="K2" s="2" t="s">
        <v>16</v>
      </c>
      <c r="L2" s="2" t="s">
        <v>17</v>
      </c>
    </row>
    <row r="3" customFormat="false" ht="15" hidden="false" customHeight="false" outlineLevel="0" collapsed="false">
      <c r="A3" s="2" t="n">
        <v>2</v>
      </c>
      <c r="B3" s="2" t="n">
        <f aca="false">INT((A3-1)/3)+1</f>
        <v>1</v>
      </c>
      <c r="C3" s="3" t="n">
        <v>1</v>
      </c>
      <c r="D3" s="2" t="s">
        <v>12</v>
      </c>
      <c r="E3" s="2" t="s">
        <v>18</v>
      </c>
      <c r="F3" s="2" t="str">
        <f aca="false">TEXT(G3,"ddd")</f>
        <v>Mon</v>
      </c>
      <c r="G3" s="4" t="n">
        <f aca="false">Settings!$B$4+(B3-1)*Settings!$B$11+INDEX(Settings!$B$7:$B$9,MATCH(E3,Settings!$A$7:$A$9,0))</f>
        <v>46321</v>
      </c>
      <c r="H3" s="5" t="n">
        <f aca="false">G3-G2</f>
        <v>3</v>
      </c>
      <c r="I3" s="6" t="s">
        <v>14</v>
      </c>
      <c r="J3" s="2" t="s">
        <v>19</v>
      </c>
      <c r="K3" s="2"/>
      <c r="L3" s="2"/>
    </row>
    <row r="4" customFormat="false" ht="15" hidden="false" customHeight="false" outlineLevel="0" collapsed="false">
      <c r="A4" s="2" t="n">
        <v>3</v>
      </c>
      <c r="B4" s="2" t="n">
        <f aca="false">INT((A4-1)/3)+1</f>
        <v>1</v>
      </c>
      <c r="C4" s="3" t="n">
        <v>1</v>
      </c>
      <c r="D4" s="2" t="s">
        <v>12</v>
      </c>
      <c r="E4" s="2" t="s">
        <v>20</v>
      </c>
      <c r="F4" s="2" t="str">
        <f aca="false">TEXT(G4,"ddd")</f>
        <v>Wed</v>
      </c>
      <c r="G4" s="4" t="n">
        <f aca="false">Settings!$B$4+(B4-1)*Settings!$B$11+INDEX(Settings!$B$7:$B$9,MATCH(E4,Settings!$A$7:$A$9,0))</f>
        <v>46323</v>
      </c>
      <c r="H4" s="5" t="n">
        <f aca="false">G4-G3</f>
        <v>2</v>
      </c>
      <c r="I4" s="6" t="s">
        <v>14</v>
      </c>
      <c r="J4" s="2" t="s">
        <v>19</v>
      </c>
      <c r="K4" s="2"/>
      <c r="L4" s="2"/>
    </row>
    <row r="5" customFormat="false" ht="15" hidden="false" customHeight="false" outlineLevel="0" collapsed="false">
      <c r="A5" s="2" t="n">
        <v>4</v>
      </c>
      <c r="B5" s="2" t="n">
        <f aca="false">INT((A5-1)/3)+1</f>
        <v>2</v>
      </c>
      <c r="C5" s="3" t="n">
        <v>2</v>
      </c>
      <c r="D5" s="2" t="s">
        <v>21</v>
      </c>
      <c r="E5" s="2" t="s">
        <v>13</v>
      </c>
      <c r="F5" s="2" t="str">
        <f aca="false">TEXT(G5,"ddd")</f>
        <v>Fri</v>
      </c>
      <c r="G5" s="4" t="n">
        <f aca="false">Settings!$B$4+(B5-1)*Settings!$B$11+INDEX(Settings!$B$7:$B$9,MATCH(E5,Settings!$A$7:$A$9,0))</f>
        <v>46325</v>
      </c>
      <c r="H5" s="5" t="n">
        <f aca="false">G5-G4</f>
        <v>2</v>
      </c>
      <c r="I5" s="6" t="s">
        <v>22</v>
      </c>
      <c r="J5" s="2" t="s">
        <v>23</v>
      </c>
      <c r="K5" s="2"/>
      <c r="L5" s="2" t="s">
        <v>24</v>
      </c>
    </row>
    <row r="6" customFormat="false" ht="15" hidden="false" customHeight="false" outlineLevel="0" collapsed="false">
      <c r="A6" s="2" t="n">
        <v>5</v>
      </c>
      <c r="B6" s="2" t="n">
        <f aca="false">INT((A6-1)/3)+1</f>
        <v>2</v>
      </c>
      <c r="C6" s="3" t="n">
        <v>2</v>
      </c>
      <c r="D6" s="2" t="s">
        <v>21</v>
      </c>
      <c r="E6" s="2" t="s">
        <v>18</v>
      </c>
      <c r="F6" s="2" t="str">
        <f aca="false">TEXT(G6,"ddd")</f>
        <v>Mon</v>
      </c>
      <c r="G6" s="4" t="n">
        <f aca="false">Settings!$B$4+(B6-1)*Settings!$B$11+INDEX(Settings!$B$7:$B$9,MATCH(E6,Settings!$A$7:$A$9,0))</f>
        <v>46328</v>
      </c>
      <c r="H6" s="5" t="n">
        <f aca="false">G6-G5</f>
        <v>3</v>
      </c>
      <c r="I6" s="6" t="s">
        <v>22</v>
      </c>
      <c r="J6" s="2" t="s">
        <v>19</v>
      </c>
      <c r="K6" s="2"/>
      <c r="L6" s="2"/>
    </row>
    <row r="7" customFormat="false" ht="15" hidden="false" customHeight="false" outlineLevel="0" collapsed="false">
      <c r="A7" s="2" t="n">
        <v>6</v>
      </c>
      <c r="B7" s="2" t="n">
        <f aca="false">INT((A7-1)/3)+1</f>
        <v>2</v>
      </c>
      <c r="C7" s="3" t="n">
        <v>2</v>
      </c>
      <c r="D7" s="2" t="s">
        <v>21</v>
      </c>
      <c r="E7" s="2" t="s">
        <v>20</v>
      </c>
      <c r="F7" s="2" t="str">
        <f aca="false">TEXT(G7,"ddd")</f>
        <v>Wed</v>
      </c>
      <c r="G7" s="4" t="n">
        <f aca="false">Settings!$B$4+(B7-1)*Settings!$B$11+INDEX(Settings!$B$7:$B$9,MATCH(E7,Settings!$A$7:$A$9,0))</f>
        <v>46330</v>
      </c>
      <c r="H7" s="5" t="n">
        <f aca="false">G7-G6</f>
        <v>2</v>
      </c>
      <c r="I7" s="6" t="s">
        <v>22</v>
      </c>
      <c r="J7" s="2" t="s">
        <v>19</v>
      </c>
      <c r="K7" s="2"/>
      <c r="L7" s="2"/>
    </row>
    <row r="8" customFormat="false" ht="15" hidden="false" customHeight="false" outlineLevel="0" collapsed="false">
      <c r="A8" s="2" t="n">
        <v>7</v>
      </c>
      <c r="B8" s="2" t="n">
        <f aca="false">INT((A8-1)/3)+1</f>
        <v>3</v>
      </c>
      <c r="C8" s="3" t="n">
        <v>3</v>
      </c>
      <c r="D8" s="2" t="s">
        <v>25</v>
      </c>
      <c r="E8" s="2" t="s">
        <v>13</v>
      </c>
      <c r="F8" s="2" t="str">
        <f aca="false">TEXT(G8,"ddd")</f>
        <v>Fri</v>
      </c>
      <c r="G8" s="4" t="n">
        <f aca="false">Settings!$B$4+(B8-1)*Settings!$B$11+INDEX(Settings!$B$7:$B$9,MATCH(E8,Settings!$A$7:$A$9,0))</f>
        <v>46332</v>
      </c>
      <c r="H8" s="5" t="n">
        <f aca="false">G8-G7</f>
        <v>2</v>
      </c>
      <c r="I8" s="6" t="s">
        <v>22</v>
      </c>
      <c r="J8" s="2" t="s">
        <v>23</v>
      </c>
      <c r="K8" s="2"/>
      <c r="L8" s="2" t="s">
        <v>26</v>
      </c>
    </row>
    <row r="9" customFormat="false" ht="15" hidden="false" customHeight="false" outlineLevel="0" collapsed="false">
      <c r="A9" s="2" t="n">
        <v>8</v>
      </c>
      <c r="B9" s="2" t="n">
        <f aca="false">INT((A9-1)/3)+1</f>
        <v>3</v>
      </c>
      <c r="C9" s="3" t="n">
        <v>3</v>
      </c>
      <c r="D9" s="2" t="s">
        <v>25</v>
      </c>
      <c r="E9" s="2" t="s">
        <v>18</v>
      </c>
      <c r="F9" s="2" t="str">
        <f aca="false">TEXT(G9,"ddd")</f>
        <v>Mon</v>
      </c>
      <c r="G9" s="4" t="n">
        <f aca="false">Settings!$B$4+(B9-1)*Settings!$B$11+INDEX(Settings!$B$7:$B$9,MATCH(E9,Settings!$A$7:$A$9,0))</f>
        <v>46335</v>
      </c>
      <c r="H9" s="5" t="n">
        <f aca="false">G9-G8</f>
        <v>3</v>
      </c>
      <c r="I9" s="6" t="s">
        <v>22</v>
      </c>
      <c r="J9" s="2" t="s">
        <v>19</v>
      </c>
      <c r="K9" s="2"/>
      <c r="L9" s="2"/>
    </row>
    <row r="10" customFormat="false" ht="15" hidden="false" customHeight="false" outlineLevel="0" collapsed="false">
      <c r="A10" s="2" t="n">
        <v>9</v>
      </c>
      <c r="B10" s="2" t="n">
        <f aca="false">INT((A10-1)/3)+1</f>
        <v>3</v>
      </c>
      <c r="C10" s="3" t="n">
        <v>3</v>
      </c>
      <c r="D10" s="2" t="s">
        <v>25</v>
      </c>
      <c r="E10" s="2" t="s">
        <v>20</v>
      </c>
      <c r="F10" s="2" t="str">
        <f aca="false">TEXT(G10,"ddd")</f>
        <v>Wed</v>
      </c>
      <c r="G10" s="4" t="n">
        <f aca="false">Settings!$B$4+(B10-1)*Settings!$B$11+INDEX(Settings!$B$7:$B$9,MATCH(E10,Settings!$A$7:$A$9,0))</f>
        <v>46337</v>
      </c>
      <c r="H10" s="5" t="n">
        <f aca="false">G10-G9</f>
        <v>2</v>
      </c>
      <c r="I10" s="6" t="s">
        <v>22</v>
      </c>
      <c r="J10" s="2" t="s">
        <v>19</v>
      </c>
      <c r="K10" s="2"/>
      <c r="L10" s="2"/>
    </row>
    <row r="11" customFormat="false" ht="15" hidden="false" customHeight="false" outlineLevel="0" collapsed="false">
      <c r="A11" s="2" t="n">
        <v>10</v>
      </c>
      <c r="B11" s="2" t="n">
        <f aca="false">INT((A11-1)/3)+1</f>
        <v>4</v>
      </c>
      <c r="C11" s="3" t="n">
        <v>4</v>
      </c>
      <c r="D11" s="2" t="s">
        <v>27</v>
      </c>
      <c r="E11" s="2" t="s">
        <v>13</v>
      </c>
      <c r="F11" s="2" t="str">
        <f aca="false">TEXT(G11,"ddd")</f>
        <v>Fri</v>
      </c>
      <c r="G11" s="4" t="n">
        <f aca="false">Settings!$B$4+(B11-1)*Settings!$B$11+INDEX(Settings!$B$7:$B$9,MATCH(E11,Settings!$A$7:$A$9,0))</f>
        <v>46339</v>
      </c>
      <c r="H11" s="5" t="n">
        <f aca="false">G11-G10</f>
        <v>2</v>
      </c>
      <c r="I11" s="6" t="s">
        <v>28</v>
      </c>
      <c r="J11" s="2" t="s">
        <v>19</v>
      </c>
      <c r="K11" s="2"/>
      <c r="L11" s="2"/>
    </row>
    <row r="12" customFormat="false" ht="15" hidden="false" customHeight="false" outlineLevel="0" collapsed="false">
      <c r="A12" s="2" t="n">
        <v>11</v>
      </c>
      <c r="B12" s="2" t="n">
        <f aca="false">INT((A12-1)/3)+1</f>
        <v>4</v>
      </c>
      <c r="C12" s="3" t="n">
        <v>4</v>
      </c>
      <c r="D12" s="2" t="s">
        <v>27</v>
      </c>
      <c r="E12" s="2" t="s">
        <v>18</v>
      </c>
      <c r="F12" s="2" t="str">
        <f aca="false">TEXT(G12,"ddd")</f>
        <v>Mon</v>
      </c>
      <c r="G12" s="4" t="n">
        <f aca="false">Settings!$B$4+(B12-1)*Settings!$B$11+INDEX(Settings!$B$7:$B$9,MATCH(E12,Settings!$A$7:$A$9,0))</f>
        <v>46342</v>
      </c>
      <c r="H12" s="5" t="n">
        <f aca="false">G12-G11</f>
        <v>3</v>
      </c>
      <c r="I12" s="6" t="s">
        <v>28</v>
      </c>
      <c r="J12" s="2" t="s">
        <v>19</v>
      </c>
      <c r="K12" s="2"/>
      <c r="L12" s="2"/>
    </row>
    <row r="13" customFormat="false" ht="15" hidden="false" customHeight="false" outlineLevel="0" collapsed="false">
      <c r="A13" s="2" t="n">
        <v>12</v>
      </c>
      <c r="B13" s="2" t="n">
        <f aca="false">INT((A13-1)/3)+1</f>
        <v>4</v>
      </c>
      <c r="C13" s="3" t="n">
        <v>4</v>
      </c>
      <c r="D13" s="2" t="s">
        <v>27</v>
      </c>
      <c r="E13" s="2" t="s">
        <v>20</v>
      </c>
      <c r="F13" s="2" t="str">
        <f aca="false">TEXT(G13,"ddd")</f>
        <v>Wed</v>
      </c>
      <c r="G13" s="4" t="n">
        <f aca="false">Settings!$B$4+(B13-1)*Settings!$B$11+INDEX(Settings!$B$7:$B$9,MATCH(E13,Settings!$A$7:$A$9,0))</f>
        <v>46344</v>
      </c>
      <c r="H13" s="5" t="n">
        <f aca="false">G13-G12</f>
        <v>2</v>
      </c>
      <c r="I13" s="6" t="s">
        <v>28</v>
      </c>
      <c r="J13" s="2" t="s">
        <v>19</v>
      </c>
      <c r="K13" s="2"/>
      <c r="L13" s="2"/>
    </row>
    <row r="14" customFormat="false" ht="15" hidden="false" customHeight="false" outlineLevel="0" collapsed="false">
      <c r="A14" s="2" t="n">
        <v>13</v>
      </c>
      <c r="B14" s="2" t="n">
        <f aca="false">INT((A14-1)/3)+1</f>
        <v>5</v>
      </c>
      <c r="C14" s="3" t="n">
        <v>5</v>
      </c>
      <c r="D14" s="2" t="s">
        <v>29</v>
      </c>
      <c r="E14" s="2" t="s">
        <v>13</v>
      </c>
      <c r="F14" s="2" t="str">
        <f aca="false">TEXT(G14,"ddd")</f>
        <v>Fri</v>
      </c>
      <c r="G14" s="4" t="n">
        <f aca="false">Settings!$B$4+(B14-1)*Settings!$B$11+INDEX(Settings!$B$7:$B$9,MATCH(E14,Settings!$A$7:$A$9,0))</f>
        <v>46346</v>
      </c>
      <c r="H14" s="5" t="n">
        <f aca="false">G14-G13</f>
        <v>2</v>
      </c>
      <c r="I14" s="6" t="s">
        <v>28</v>
      </c>
      <c r="J14" s="2" t="s">
        <v>19</v>
      </c>
      <c r="K14" s="2"/>
      <c r="L14" s="2"/>
    </row>
    <row r="15" customFormat="false" ht="15" hidden="false" customHeight="false" outlineLevel="0" collapsed="false">
      <c r="A15" s="2" t="n">
        <v>14</v>
      </c>
      <c r="B15" s="2" t="n">
        <f aca="false">INT((A15-1)/3)+1</f>
        <v>5</v>
      </c>
      <c r="C15" s="3" t="n">
        <v>5</v>
      </c>
      <c r="D15" s="2" t="s">
        <v>29</v>
      </c>
      <c r="E15" s="2" t="s">
        <v>18</v>
      </c>
      <c r="F15" s="2" t="str">
        <f aca="false">TEXT(G15,"ddd")</f>
        <v>Mon</v>
      </c>
      <c r="G15" s="4" t="n">
        <f aca="false">Settings!$B$4+(B15-1)*Settings!$B$11+INDEX(Settings!$B$7:$B$9,MATCH(E15,Settings!$A$7:$A$9,0))</f>
        <v>46349</v>
      </c>
      <c r="H15" s="5" t="n">
        <f aca="false">G15-G14</f>
        <v>3</v>
      </c>
      <c r="I15" s="6" t="s">
        <v>28</v>
      </c>
      <c r="J15" s="2" t="s">
        <v>19</v>
      </c>
      <c r="K15" s="2"/>
      <c r="L15" s="2"/>
    </row>
    <row r="16" customFormat="false" ht="15" hidden="false" customHeight="false" outlineLevel="0" collapsed="false">
      <c r="A16" s="2" t="n">
        <v>15</v>
      </c>
      <c r="B16" s="2" t="n">
        <f aca="false">INT((A16-1)/3)+1</f>
        <v>5</v>
      </c>
      <c r="C16" s="3" t="n">
        <v>5</v>
      </c>
      <c r="D16" s="2" t="s">
        <v>29</v>
      </c>
      <c r="E16" s="2" t="s">
        <v>20</v>
      </c>
      <c r="F16" s="2" t="str">
        <f aca="false">TEXT(G16,"ddd")</f>
        <v>Wed</v>
      </c>
      <c r="G16" s="4" t="n">
        <f aca="false">Settings!$B$4+(B16-1)*Settings!$B$11+INDEX(Settings!$B$7:$B$9,MATCH(E16,Settings!$A$7:$A$9,0))</f>
        <v>46351</v>
      </c>
      <c r="H16" s="5" t="n">
        <f aca="false">G16-G15</f>
        <v>2</v>
      </c>
      <c r="I16" s="6" t="s">
        <v>28</v>
      </c>
      <c r="J16" s="2" t="s">
        <v>19</v>
      </c>
      <c r="K16" s="2"/>
      <c r="L16" s="2"/>
    </row>
    <row r="17" customFormat="false" ht="15" hidden="false" customHeight="false" outlineLevel="0" collapsed="false">
      <c r="A17" s="2" t="n">
        <v>16</v>
      </c>
      <c r="B17" s="2" t="n">
        <f aca="false">INT((A17-1)/3)+1</f>
        <v>6</v>
      </c>
      <c r="C17" s="3" t="n">
        <v>6</v>
      </c>
      <c r="D17" s="2" t="s">
        <v>30</v>
      </c>
      <c r="E17" s="2" t="s">
        <v>13</v>
      </c>
      <c r="F17" s="2" t="str">
        <f aca="false">TEXT(G17,"ddd")</f>
        <v>Fri</v>
      </c>
      <c r="G17" s="4" t="n">
        <f aca="false">Settings!$B$4+(B17-1)*Settings!$B$11+INDEX(Settings!$B$7:$B$9,MATCH(E17,Settings!$A$7:$A$9,0))</f>
        <v>46353</v>
      </c>
      <c r="H17" s="5" t="n">
        <f aca="false">G17-G16</f>
        <v>2</v>
      </c>
      <c r="I17" s="6" t="s">
        <v>31</v>
      </c>
      <c r="J17" s="2" t="s">
        <v>19</v>
      </c>
      <c r="K17" s="2"/>
      <c r="L17" s="2"/>
    </row>
    <row r="18" customFormat="false" ht="15" hidden="false" customHeight="false" outlineLevel="0" collapsed="false">
      <c r="A18" s="2" t="n">
        <v>17</v>
      </c>
      <c r="B18" s="2" t="n">
        <f aca="false">INT((A18-1)/3)+1</f>
        <v>6</v>
      </c>
      <c r="C18" s="3" t="n">
        <v>6</v>
      </c>
      <c r="D18" s="2" t="s">
        <v>30</v>
      </c>
      <c r="E18" s="2" t="s">
        <v>18</v>
      </c>
      <c r="F18" s="2" t="str">
        <f aca="false">TEXT(G18,"ddd")</f>
        <v>Mon</v>
      </c>
      <c r="G18" s="4" t="n">
        <f aca="false">Settings!$B$4+(B18-1)*Settings!$B$11+INDEX(Settings!$B$7:$B$9,MATCH(E18,Settings!$A$7:$A$9,0))</f>
        <v>46356</v>
      </c>
      <c r="H18" s="5" t="n">
        <f aca="false">G18-G17</f>
        <v>3</v>
      </c>
      <c r="I18" s="6" t="s">
        <v>31</v>
      </c>
      <c r="J18" s="2" t="s">
        <v>19</v>
      </c>
      <c r="K18" s="2"/>
      <c r="L18" s="2"/>
    </row>
    <row r="19" customFormat="false" ht="15" hidden="false" customHeight="false" outlineLevel="0" collapsed="false">
      <c r="A19" s="2" t="n">
        <v>18</v>
      </c>
      <c r="B19" s="2" t="n">
        <f aca="false">INT((A19-1)/3)+1</f>
        <v>6</v>
      </c>
      <c r="C19" s="3" t="n">
        <v>6</v>
      </c>
      <c r="D19" s="2" t="s">
        <v>30</v>
      </c>
      <c r="E19" s="2" t="s">
        <v>20</v>
      </c>
      <c r="F19" s="2" t="str">
        <f aca="false">TEXT(G19,"ddd")</f>
        <v>Wed</v>
      </c>
      <c r="G19" s="4" t="n">
        <f aca="false">Settings!$B$4+(B19-1)*Settings!$B$11+INDEX(Settings!$B$7:$B$9,MATCH(E19,Settings!$A$7:$A$9,0))</f>
        <v>46358</v>
      </c>
      <c r="H19" s="5" t="n">
        <f aca="false">G19-G18</f>
        <v>2</v>
      </c>
      <c r="I19" s="6" t="s">
        <v>31</v>
      </c>
      <c r="J19" s="2" t="s">
        <v>19</v>
      </c>
      <c r="K19" s="2"/>
      <c r="L19" s="2"/>
    </row>
    <row r="20" customFormat="false" ht="15" hidden="false" customHeight="false" outlineLevel="0" collapsed="false">
      <c r="A20" s="2" t="n">
        <v>19</v>
      </c>
      <c r="B20" s="2" t="n">
        <f aca="false">INT((A20-1)/3)+1</f>
        <v>7</v>
      </c>
      <c r="C20" s="3" t="n">
        <v>7</v>
      </c>
      <c r="D20" s="2" t="s">
        <v>32</v>
      </c>
      <c r="E20" s="2" t="s">
        <v>13</v>
      </c>
      <c r="F20" s="2" t="str">
        <f aca="false">TEXT(G20,"ddd")</f>
        <v>Fri</v>
      </c>
      <c r="G20" s="4" t="n">
        <f aca="false">Settings!$B$4+(B20-1)*Settings!$B$11+INDEX(Settings!$B$7:$B$9,MATCH(E20,Settings!$A$7:$A$9,0))</f>
        <v>46360</v>
      </c>
      <c r="H20" s="5" t="n">
        <f aca="false">G20-G19</f>
        <v>2</v>
      </c>
      <c r="I20" s="6" t="s">
        <v>31</v>
      </c>
      <c r="J20" s="2" t="s">
        <v>19</v>
      </c>
      <c r="K20" s="2"/>
      <c r="L20" s="2"/>
    </row>
    <row r="21" customFormat="false" ht="15" hidden="false" customHeight="false" outlineLevel="0" collapsed="false">
      <c r="A21" s="2" t="n">
        <v>20</v>
      </c>
      <c r="B21" s="2" t="n">
        <f aca="false">INT((A21-1)/3)+1</f>
        <v>7</v>
      </c>
      <c r="C21" s="3" t="n">
        <v>7</v>
      </c>
      <c r="D21" s="2" t="s">
        <v>32</v>
      </c>
      <c r="E21" s="2" t="s">
        <v>18</v>
      </c>
      <c r="F21" s="2" t="str">
        <f aca="false">TEXT(G21,"ddd")</f>
        <v>Mon</v>
      </c>
      <c r="G21" s="4" t="n">
        <f aca="false">Settings!$B$4+(B21-1)*Settings!$B$11+INDEX(Settings!$B$7:$B$9,MATCH(E21,Settings!$A$7:$A$9,0))</f>
        <v>46363</v>
      </c>
      <c r="H21" s="5" t="n">
        <f aca="false">G21-G20</f>
        <v>3</v>
      </c>
      <c r="I21" s="6" t="s">
        <v>31</v>
      </c>
      <c r="J21" s="2" t="s">
        <v>19</v>
      </c>
      <c r="K21" s="2"/>
      <c r="L21" s="2"/>
    </row>
    <row r="22" customFormat="false" ht="15" hidden="false" customHeight="false" outlineLevel="0" collapsed="false">
      <c r="A22" s="2" t="n">
        <v>21</v>
      </c>
      <c r="B22" s="2" t="n">
        <f aca="false">INT((A22-1)/3)+1</f>
        <v>7</v>
      </c>
      <c r="C22" s="3" t="n">
        <v>7</v>
      </c>
      <c r="D22" s="2" t="s">
        <v>32</v>
      </c>
      <c r="E22" s="2" t="s">
        <v>20</v>
      </c>
      <c r="F22" s="2" t="str">
        <f aca="false">TEXT(G22,"ddd")</f>
        <v>Wed</v>
      </c>
      <c r="G22" s="4" t="n">
        <f aca="false">Settings!$B$4+(B22-1)*Settings!$B$11+INDEX(Settings!$B$7:$B$9,MATCH(E22,Settings!$A$7:$A$9,0))</f>
        <v>46365</v>
      </c>
      <c r="H22" s="5" t="n">
        <f aca="false">G22-G21</f>
        <v>2</v>
      </c>
      <c r="I22" s="6" t="s">
        <v>31</v>
      </c>
      <c r="J22" s="2" t="s">
        <v>19</v>
      </c>
      <c r="K22" s="2"/>
      <c r="L22" s="2"/>
    </row>
    <row r="23" customFormat="false" ht="15" hidden="false" customHeight="false" outlineLevel="0" collapsed="false">
      <c r="A23" s="2" t="n">
        <v>22</v>
      </c>
      <c r="B23" s="2" t="n">
        <f aca="false">INT((A23-1)/3)+1</f>
        <v>8</v>
      </c>
      <c r="C23" s="3" t="n">
        <v>8</v>
      </c>
      <c r="D23" s="2" t="s">
        <v>33</v>
      </c>
      <c r="E23" s="2" t="s">
        <v>13</v>
      </c>
      <c r="F23" s="2" t="str">
        <f aca="false">TEXT(G23,"ddd")</f>
        <v>Fri</v>
      </c>
      <c r="G23" s="4" t="n">
        <f aca="false">Settings!$B$4+(B23-1)*Settings!$B$11+INDEX(Settings!$B$7:$B$9,MATCH(E23,Settings!$A$7:$A$9,0))</f>
        <v>46367</v>
      </c>
      <c r="H23" s="5" t="n">
        <f aca="false">G23-G22</f>
        <v>2</v>
      </c>
      <c r="I23" s="6" t="s">
        <v>31</v>
      </c>
      <c r="J23" s="2" t="s">
        <v>19</v>
      </c>
      <c r="K23" s="2"/>
      <c r="L23" s="2"/>
    </row>
    <row r="24" customFormat="false" ht="15" hidden="false" customHeight="false" outlineLevel="0" collapsed="false">
      <c r="A24" s="2" t="n">
        <v>23</v>
      </c>
      <c r="B24" s="2" t="n">
        <f aca="false">INT((A24-1)/3)+1</f>
        <v>8</v>
      </c>
      <c r="C24" s="3" t="n">
        <v>8</v>
      </c>
      <c r="D24" s="2" t="s">
        <v>33</v>
      </c>
      <c r="E24" s="2" t="s">
        <v>18</v>
      </c>
      <c r="F24" s="2" t="str">
        <f aca="false">TEXT(G24,"ddd")</f>
        <v>Mon</v>
      </c>
      <c r="G24" s="4" t="n">
        <f aca="false">Settings!$B$4+(B24-1)*Settings!$B$11+INDEX(Settings!$B$7:$B$9,MATCH(E24,Settings!$A$7:$A$9,0))</f>
        <v>46370</v>
      </c>
      <c r="H24" s="5" t="n">
        <f aca="false">G24-G23</f>
        <v>3</v>
      </c>
      <c r="I24" s="6" t="s">
        <v>31</v>
      </c>
      <c r="J24" s="2" t="s">
        <v>19</v>
      </c>
      <c r="K24" s="2"/>
      <c r="L24" s="2"/>
    </row>
    <row r="25" customFormat="false" ht="15" hidden="false" customHeight="false" outlineLevel="0" collapsed="false">
      <c r="A25" s="2" t="n">
        <v>24</v>
      </c>
      <c r="B25" s="2" t="n">
        <f aca="false">INT((A25-1)/3)+1</f>
        <v>8</v>
      </c>
      <c r="C25" s="3" t="n">
        <v>8</v>
      </c>
      <c r="D25" s="2" t="s">
        <v>33</v>
      </c>
      <c r="E25" s="2" t="s">
        <v>20</v>
      </c>
      <c r="F25" s="2" t="str">
        <f aca="false">TEXT(G25,"ddd")</f>
        <v>Wed</v>
      </c>
      <c r="G25" s="4" t="n">
        <f aca="false">Settings!$B$4+(B25-1)*Settings!$B$11+INDEX(Settings!$B$7:$B$9,MATCH(E25,Settings!$A$7:$A$9,0))</f>
        <v>46372</v>
      </c>
      <c r="H25" s="5" t="n">
        <f aca="false">G25-G24</f>
        <v>2</v>
      </c>
      <c r="I25" s="6" t="s">
        <v>31</v>
      </c>
      <c r="J25" s="2" t="s">
        <v>19</v>
      </c>
      <c r="K25" s="2"/>
      <c r="L25" s="2"/>
    </row>
    <row r="26" customFormat="false" ht="15" hidden="false" customHeight="false" outlineLevel="0" collapsed="false">
      <c r="A26" s="2" t="n">
        <v>25</v>
      </c>
      <c r="B26" s="2" t="n">
        <f aca="false">INT((A26-1)/3)+1</f>
        <v>9</v>
      </c>
      <c r="C26" s="3" t="n">
        <v>9</v>
      </c>
      <c r="D26" s="2" t="s">
        <v>34</v>
      </c>
      <c r="E26" s="2" t="s">
        <v>13</v>
      </c>
      <c r="F26" s="2" t="str">
        <f aca="false">TEXT(G26,"ddd")</f>
        <v>Fri</v>
      </c>
      <c r="G26" s="4" t="n">
        <f aca="false">Settings!$B$4+(B26-1)*Settings!$B$11+INDEX(Settings!$B$7:$B$9,MATCH(E26,Settings!$A$7:$A$9,0))</f>
        <v>46374</v>
      </c>
      <c r="H26" s="5" t="n">
        <f aca="false">G26-G25</f>
        <v>2</v>
      </c>
      <c r="I26" s="6" t="s">
        <v>35</v>
      </c>
      <c r="J26" s="2" t="s">
        <v>19</v>
      </c>
      <c r="K26" s="2"/>
      <c r="L26" s="2"/>
    </row>
    <row r="27" customFormat="false" ht="15" hidden="false" customHeight="false" outlineLevel="0" collapsed="false">
      <c r="A27" s="2" t="n">
        <v>26</v>
      </c>
      <c r="B27" s="2" t="n">
        <f aca="false">INT((A27-1)/3)+1</f>
        <v>9</v>
      </c>
      <c r="C27" s="3" t="n">
        <v>9</v>
      </c>
      <c r="D27" s="2" t="s">
        <v>34</v>
      </c>
      <c r="E27" s="2" t="s">
        <v>18</v>
      </c>
      <c r="F27" s="2" t="str">
        <f aca="false">TEXT(G27,"ddd")</f>
        <v>Mon</v>
      </c>
      <c r="G27" s="4" t="n">
        <f aca="false">Settings!$B$4+(B27-1)*Settings!$B$11+INDEX(Settings!$B$7:$B$9,MATCH(E27,Settings!$A$7:$A$9,0))</f>
        <v>46377</v>
      </c>
      <c r="H27" s="5" t="n">
        <f aca="false">G27-G26</f>
        <v>3</v>
      </c>
      <c r="I27" s="6" t="s">
        <v>35</v>
      </c>
      <c r="J27" s="2" t="s">
        <v>19</v>
      </c>
      <c r="K27" s="2"/>
      <c r="L27" s="2"/>
    </row>
    <row r="28" customFormat="false" ht="15" hidden="false" customHeight="false" outlineLevel="0" collapsed="false">
      <c r="A28" s="2" t="n">
        <v>27</v>
      </c>
      <c r="B28" s="2" t="n">
        <f aca="false">INT((A28-1)/3)+1</f>
        <v>9</v>
      </c>
      <c r="C28" s="3" t="n">
        <v>9</v>
      </c>
      <c r="D28" s="2" t="s">
        <v>34</v>
      </c>
      <c r="E28" s="2" t="s">
        <v>20</v>
      </c>
      <c r="F28" s="2" t="str">
        <f aca="false">TEXT(G28,"ddd")</f>
        <v>Wed</v>
      </c>
      <c r="G28" s="4" t="n">
        <f aca="false">Settings!$B$4+(B28-1)*Settings!$B$11+INDEX(Settings!$B$7:$B$9,MATCH(E28,Settings!$A$7:$A$9,0))</f>
        <v>46379</v>
      </c>
      <c r="H28" s="5" t="n">
        <f aca="false">G28-G27</f>
        <v>2</v>
      </c>
      <c r="I28" s="6" t="s">
        <v>35</v>
      </c>
      <c r="J28" s="2" t="s">
        <v>19</v>
      </c>
      <c r="K28" s="2"/>
      <c r="L28" s="2"/>
    </row>
    <row r="29" customFormat="false" ht="15" hidden="false" customHeight="false" outlineLevel="0" collapsed="false">
      <c r="A29" s="2" t="n">
        <v>28</v>
      </c>
      <c r="B29" s="2" t="n">
        <f aca="false">INT((A29-1)/3)+1</f>
        <v>10</v>
      </c>
      <c r="C29" s="3" t="n">
        <v>10</v>
      </c>
      <c r="D29" s="2" t="s">
        <v>36</v>
      </c>
      <c r="E29" s="2" t="s">
        <v>13</v>
      </c>
      <c r="F29" s="2" t="str">
        <f aca="false">TEXT(G29,"ddd")</f>
        <v>Fri</v>
      </c>
      <c r="G29" s="4" t="n">
        <f aca="false">Settings!$B$4+(B29-1)*Settings!$B$11+INDEX(Settings!$B$7:$B$9,MATCH(E29,Settings!$A$7:$A$9,0))</f>
        <v>46381</v>
      </c>
      <c r="H29" s="5" t="n">
        <f aca="false">G29-G28</f>
        <v>2</v>
      </c>
      <c r="I29" s="6" t="s">
        <v>35</v>
      </c>
      <c r="J29" s="2" t="s">
        <v>19</v>
      </c>
      <c r="K29" s="2"/>
      <c r="L29" s="2"/>
    </row>
    <row r="30" customFormat="false" ht="15" hidden="false" customHeight="false" outlineLevel="0" collapsed="false">
      <c r="A30" s="2" t="n">
        <v>29</v>
      </c>
      <c r="B30" s="2" t="n">
        <f aca="false">INT((A30-1)/3)+1</f>
        <v>10</v>
      </c>
      <c r="C30" s="3" t="n">
        <v>10</v>
      </c>
      <c r="D30" s="2" t="s">
        <v>36</v>
      </c>
      <c r="E30" s="2" t="s">
        <v>18</v>
      </c>
      <c r="F30" s="2" t="str">
        <f aca="false">TEXT(G30,"ddd")</f>
        <v>Mon</v>
      </c>
      <c r="G30" s="4" t="n">
        <f aca="false">Settings!$B$4+(B30-1)*Settings!$B$11+INDEX(Settings!$B$7:$B$9,MATCH(E30,Settings!$A$7:$A$9,0))</f>
        <v>46384</v>
      </c>
      <c r="H30" s="5" t="n">
        <f aca="false">G30-G29</f>
        <v>3</v>
      </c>
      <c r="I30" s="6" t="s">
        <v>35</v>
      </c>
      <c r="J30" s="2" t="s">
        <v>19</v>
      </c>
      <c r="K30" s="2"/>
      <c r="L30" s="2"/>
    </row>
    <row r="31" customFormat="false" ht="15" hidden="false" customHeight="false" outlineLevel="0" collapsed="false">
      <c r="A31" s="2" t="n">
        <v>30</v>
      </c>
      <c r="B31" s="2" t="n">
        <f aca="false">INT((A31-1)/3)+1</f>
        <v>10</v>
      </c>
      <c r="C31" s="3" t="n">
        <v>10</v>
      </c>
      <c r="D31" s="2" t="s">
        <v>36</v>
      </c>
      <c r="E31" s="2" t="s">
        <v>20</v>
      </c>
      <c r="F31" s="2" t="str">
        <f aca="false">TEXT(G31,"ddd")</f>
        <v>Wed</v>
      </c>
      <c r="G31" s="4" t="n">
        <f aca="false">Settings!$B$4+(B31-1)*Settings!$B$11+INDEX(Settings!$B$7:$B$9,MATCH(E31,Settings!$A$7:$A$9,0))</f>
        <v>46386</v>
      </c>
      <c r="H31" s="5" t="n">
        <f aca="false">G31-G30</f>
        <v>2</v>
      </c>
      <c r="I31" s="6" t="s">
        <v>35</v>
      </c>
      <c r="J31" s="2" t="s">
        <v>19</v>
      </c>
      <c r="K31" s="2"/>
      <c r="L31" s="2"/>
    </row>
    <row r="32" customFormat="false" ht="15" hidden="false" customHeight="false" outlineLevel="0" collapsed="false">
      <c r="A32" s="2" t="n">
        <v>31</v>
      </c>
      <c r="B32" s="2" t="n">
        <f aca="false">INT((A32-1)/3)+1</f>
        <v>11</v>
      </c>
      <c r="C32" s="3" t="n">
        <v>11</v>
      </c>
      <c r="D32" s="2" t="s">
        <v>37</v>
      </c>
      <c r="E32" s="2" t="s">
        <v>13</v>
      </c>
      <c r="F32" s="2" t="str">
        <f aca="false">TEXT(G32,"ddd")</f>
        <v>Fri</v>
      </c>
      <c r="G32" s="4" t="n">
        <f aca="false">Settings!$B$4+(B32-1)*Settings!$B$11+INDEX(Settings!$B$7:$B$9,MATCH(E32,Settings!$A$7:$A$9,0))</f>
        <v>46388</v>
      </c>
      <c r="H32" s="5" t="n">
        <f aca="false">G32-G31</f>
        <v>2</v>
      </c>
      <c r="I32" s="6" t="s">
        <v>38</v>
      </c>
      <c r="J32" s="2" t="s">
        <v>19</v>
      </c>
      <c r="K32" s="2"/>
      <c r="L32" s="2"/>
    </row>
    <row r="33" customFormat="false" ht="15" hidden="false" customHeight="false" outlineLevel="0" collapsed="false">
      <c r="A33" s="2" t="n">
        <v>32</v>
      </c>
      <c r="B33" s="2" t="n">
        <f aca="false">INT((A33-1)/3)+1</f>
        <v>11</v>
      </c>
      <c r="C33" s="3" t="n">
        <v>11</v>
      </c>
      <c r="D33" s="2" t="s">
        <v>37</v>
      </c>
      <c r="E33" s="2" t="s">
        <v>18</v>
      </c>
      <c r="F33" s="2" t="str">
        <f aca="false">TEXT(G33,"ddd")</f>
        <v>Mon</v>
      </c>
      <c r="G33" s="4" t="n">
        <f aca="false">Settings!$B$4+(B33-1)*Settings!$B$11+INDEX(Settings!$B$7:$B$9,MATCH(E33,Settings!$A$7:$A$9,0))</f>
        <v>46391</v>
      </c>
      <c r="H33" s="5" t="n">
        <f aca="false">G33-G32</f>
        <v>3</v>
      </c>
      <c r="I33" s="6" t="s">
        <v>38</v>
      </c>
      <c r="J33" s="2" t="s">
        <v>19</v>
      </c>
      <c r="K33" s="2"/>
      <c r="L33" s="2"/>
    </row>
    <row r="34" customFormat="false" ht="15" hidden="false" customHeight="false" outlineLevel="0" collapsed="false">
      <c r="A34" s="2" t="n">
        <v>33</v>
      </c>
      <c r="B34" s="2" t="n">
        <f aca="false">INT((A34-1)/3)+1</f>
        <v>11</v>
      </c>
      <c r="C34" s="3" t="n">
        <v>11</v>
      </c>
      <c r="D34" s="2" t="s">
        <v>37</v>
      </c>
      <c r="E34" s="2" t="s">
        <v>20</v>
      </c>
      <c r="F34" s="2" t="str">
        <f aca="false">TEXT(G34,"ddd")</f>
        <v>Wed</v>
      </c>
      <c r="G34" s="4" t="n">
        <f aca="false">Settings!$B$4+(B34-1)*Settings!$B$11+INDEX(Settings!$B$7:$B$9,MATCH(E34,Settings!$A$7:$A$9,0))</f>
        <v>46393</v>
      </c>
      <c r="H34" s="5" t="n">
        <f aca="false">G34-G33</f>
        <v>2</v>
      </c>
      <c r="I34" s="6" t="s">
        <v>38</v>
      </c>
      <c r="J34" s="2" t="s">
        <v>19</v>
      </c>
      <c r="K34" s="2"/>
      <c r="L34" s="2"/>
    </row>
    <row r="35" customFormat="false" ht="15" hidden="false" customHeight="false" outlineLevel="0" collapsed="false">
      <c r="A35" s="2" t="n">
        <v>34</v>
      </c>
      <c r="B35" s="2" t="n">
        <f aca="false">INT((A35-1)/3)+1</f>
        <v>12</v>
      </c>
      <c r="C35" s="3" t="n">
        <v>12</v>
      </c>
      <c r="D35" s="2" t="s">
        <v>39</v>
      </c>
      <c r="E35" s="2" t="s">
        <v>13</v>
      </c>
      <c r="F35" s="2" t="str">
        <f aca="false">TEXT(G35,"ddd")</f>
        <v>Fri</v>
      </c>
      <c r="G35" s="4" t="n">
        <f aca="false">Settings!$B$4+(B35-1)*Settings!$B$11+INDEX(Settings!$B$7:$B$9,MATCH(E35,Settings!$A$7:$A$9,0))</f>
        <v>46395</v>
      </c>
      <c r="H35" s="5" t="n">
        <f aca="false">G35-G34</f>
        <v>2</v>
      </c>
      <c r="I35" s="6" t="s">
        <v>38</v>
      </c>
      <c r="J35" s="2" t="s">
        <v>19</v>
      </c>
      <c r="K35" s="2"/>
      <c r="L35" s="2"/>
    </row>
    <row r="36" customFormat="false" ht="15" hidden="false" customHeight="false" outlineLevel="0" collapsed="false">
      <c r="A36" s="2" t="n">
        <v>35</v>
      </c>
      <c r="B36" s="2" t="n">
        <f aca="false">INT((A36-1)/3)+1</f>
        <v>12</v>
      </c>
      <c r="C36" s="3" t="n">
        <v>12</v>
      </c>
      <c r="D36" s="2" t="s">
        <v>39</v>
      </c>
      <c r="E36" s="2" t="s">
        <v>18</v>
      </c>
      <c r="F36" s="2" t="str">
        <f aca="false">TEXT(G36,"ddd")</f>
        <v>Mon</v>
      </c>
      <c r="G36" s="4" t="n">
        <f aca="false">Settings!$B$4+(B36-1)*Settings!$B$11+INDEX(Settings!$B$7:$B$9,MATCH(E36,Settings!$A$7:$A$9,0))</f>
        <v>46398</v>
      </c>
      <c r="H36" s="5" t="n">
        <f aca="false">G36-G35</f>
        <v>3</v>
      </c>
      <c r="I36" s="6" t="s">
        <v>38</v>
      </c>
      <c r="J36" s="2" t="s">
        <v>19</v>
      </c>
      <c r="K36" s="2"/>
      <c r="L36" s="2"/>
    </row>
    <row r="37" customFormat="false" ht="15" hidden="false" customHeight="false" outlineLevel="0" collapsed="false">
      <c r="A37" s="2" t="n">
        <v>36</v>
      </c>
      <c r="B37" s="2" t="n">
        <f aca="false">INT((A37-1)/3)+1</f>
        <v>12</v>
      </c>
      <c r="C37" s="3" t="n">
        <v>12</v>
      </c>
      <c r="D37" s="2" t="s">
        <v>39</v>
      </c>
      <c r="E37" s="2" t="s">
        <v>20</v>
      </c>
      <c r="F37" s="2" t="str">
        <f aca="false">TEXT(G37,"ddd")</f>
        <v>Wed</v>
      </c>
      <c r="G37" s="4" t="n">
        <f aca="false">Settings!$B$4+(B37-1)*Settings!$B$11+INDEX(Settings!$B$7:$B$9,MATCH(E37,Settings!$A$7:$A$9,0))</f>
        <v>46400</v>
      </c>
      <c r="H37" s="5" t="n">
        <f aca="false">G37-G36</f>
        <v>2</v>
      </c>
      <c r="I37" s="6" t="s">
        <v>38</v>
      </c>
      <c r="J37" s="2" t="s">
        <v>19</v>
      </c>
      <c r="K37" s="2"/>
      <c r="L37" s="2"/>
    </row>
    <row r="38" customFormat="false" ht="15" hidden="false" customHeight="false" outlineLevel="0" collapsed="false">
      <c r="A38" s="2" t="n">
        <v>37</v>
      </c>
      <c r="B38" s="2" t="n">
        <f aca="false">INT((A38-1)/3)+1</f>
        <v>13</v>
      </c>
      <c r="C38" s="3" t="n">
        <v>13</v>
      </c>
      <c r="D38" s="2" t="s">
        <v>40</v>
      </c>
      <c r="E38" s="2" t="s">
        <v>13</v>
      </c>
      <c r="F38" s="2" t="str">
        <f aca="false">TEXT(G38,"ddd")</f>
        <v>Fri</v>
      </c>
      <c r="G38" s="4" t="n">
        <f aca="false">Settings!$B$4+(B38-1)*Settings!$B$11+INDEX(Settings!$B$7:$B$9,MATCH(E38,Settings!$A$7:$A$9,0))</f>
        <v>46402</v>
      </c>
      <c r="H38" s="5" t="n">
        <f aca="false">G38-G37</f>
        <v>2</v>
      </c>
      <c r="I38" s="6" t="s">
        <v>38</v>
      </c>
      <c r="J38" s="2" t="s">
        <v>19</v>
      </c>
      <c r="K38" s="2"/>
      <c r="L38" s="2"/>
    </row>
    <row r="39" customFormat="false" ht="15" hidden="false" customHeight="false" outlineLevel="0" collapsed="false">
      <c r="A39" s="2" t="n">
        <v>38</v>
      </c>
      <c r="B39" s="2" t="n">
        <f aca="false">INT((A39-1)/3)+1</f>
        <v>13</v>
      </c>
      <c r="C39" s="3" t="n">
        <v>13</v>
      </c>
      <c r="D39" s="2" t="s">
        <v>40</v>
      </c>
      <c r="E39" s="2" t="s">
        <v>18</v>
      </c>
      <c r="F39" s="2" t="str">
        <f aca="false">TEXT(G39,"ddd")</f>
        <v>Mon</v>
      </c>
      <c r="G39" s="4" t="n">
        <f aca="false">Settings!$B$4+(B39-1)*Settings!$B$11+INDEX(Settings!$B$7:$B$9,MATCH(E39,Settings!$A$7:$A$9,0))</f>
        <v>46405</v>
      </c>
      <c r="H39" s="5" t="n">
        <f aca="false">G39-G38</f>
        <v>3</v>
      </c>
      <c r="I39" s="6" t="s">
        <v>38</v>
      </c>
      <c r="J39" s="2" t="s">
        <v>19</v>
      </c>
      <c r="K39" s="2"/>
      <c r="L39" s="2"/>
    </row>
    <row r="40" customFormat="false" ht="15" hidden="false" customHeight="false" outlineLevel="0" collapsed="false">
      <c r="A40" s="2" t="n">
        <v>39</v>
      </c>
      <c r="B40" s="2" t="n">
        <f aca="false">INT((A40-1)/3)+1</f>
        <v>13</v>
      </c>
      <c r="C40" s="3" t="n">
        <v>13</v>
      </c>
      <c r="D40" s="2" t="s">
        <v>40</v>
      </c>
      <c r="E40" s="2" t="s">
        <v>20</v>
      </c>
      <c r="F40" s="2" t="str">
        <f aca="false">TEXT(G40,"ddd")</f>
        <v>Wed</v>
      </c>
      <c r="G40" s="4" t="n">
        <f aca="false">Settings!$B$4+(B40-1)*Settings!$B$11+INDEX(Settings!$B$7:$B$9,MATCH(E40,Settings!$A$7:$A$9,0))</f>
        <v>46407</v>
      </c>
      <c r="H40" s="5" t="n">
        <f aca="false">G40-G39</f>
        <v>2</v>
      </c>
      <c r="I40" s="6" t="s">
        <v>38</v>
      </c>
      <c r="J40" s="2" t="s">
        <v>19</v>
      </c>
      <c r="K40" s="2"/>
      <c r="L40" s="2"/>
    </row>
    <row r="41" customFormat="false" ht="15" hidden="false" customHeight="false" outlineLevel="0" collapsed="false">
      <c r="A41" s="2" t="n">
        <v>40</v>
      </c>
      <c r="B41" s="2" t="n">
        <f aca="false">INT((A41-1)/3)+1</f>
        <v>14</v>
      </c>
      <c r="C41" s="3" t="n">
        <v>14</v>
      </c>
      <c r="D41" s="2" t="s">
        <v>41</v>
      </c>
      <c r="E41" s="2" t="s">
        <v>13</v>
      </c>
      <c r="F41" s="2" t="str">
        <f aca="false">TEXT(G41,"ddd")</f>
        <v>Fri</v>
      </c>
      <c r="G41" s="4" t="n">
        <f aca="false">Settings!$B$4+(B41-1)*Settings!$B$11+INDEX(Settings!$B$7:$B$9,MATCH(E41,Settings!$A$7:$A$9,0))</f>
        <v>46409</v>
      </c>
      <c r="H41" s="5" t="n">
        <f aca="false">G41-G40</f>
        <v>2</v>
      </c>
      <c r="I41" s="6" t="s">
        <v>42</v>
      </c>
      <c r="J41" s="2" t="s">
        <v>19</v>
      </c>
      <c r="K41" s="2"/>
      <c r="L41" s="2"/>
    </row>
    <row r="42" customFormat="false" ht="15" hidden="false" customHeight="false" outlineLevel="0" collapsed="false">
      <c r="A42" s="2" t="n">
        <v>41</v>
      </c>
      <c r="B42" s="2" t="n">
        <f aca="false">INT((A42-1)/3)+1</f>
        <v>14</v>
      </c>
      <c r="C42" s="3" t="n">
        <v>14</v>
      </c>
      <c r="D42" s="2" t="s">
        <v>41</v>
      </c>
      <c r="E42" s="2" t="s">
        <v>18</v>
      </c>
      <c r="F42" s="2" t="str">
        <f aca="false">TEXT(G42,"ddd")</f>
        <v>Mon</v>
      </c>
      <c r="G42" s="4" t="n">
        <f aca="false">Settings!$B$4+(B42-1)*Settings!$B$11+INDEX(Settings!$B$7:$B$9,MATCH(E42,Settings!$A$7:$A$9,0))</f>
        <v>46412</v>
      </c>
      <c r="H42" s="5" t="n">
        <f aca="false">G42-G41</f>
        <v>3</v>
      </c>
      <c r="I42" s="6" t="s">
        <v>42</v>
      </c>
      <c r="J42" s="2" t="s">
        <v>19</v>
      </c>
      <c r="K42" s="2"/>
      <c r="L42" s="2"/>
    </row>
    <row r="43" customFormat="false" ht="15" hidden="false" customHeight="false" outlineLevel="0" collapsed="false">
      <c r="A43" s="2" t="n">
        <v>42</v>
      </c>
      <c r="B43" s="2" t="n">
        <f aca="false">INT((A43-1)/3)+1</f>
        <v>14</v>
      </c>
      <c r="C43" s="3" t="n">
        <v>14</v>
      </c>
      <c r="D43" s="2" t="s">
        <v>41</v>
      </c>
      <c r="E43" s="2" t="s">
        <v>20</v>
      </c>
      <c r="F43" s="2" t="str">
        <f aca="false">TEXT(G43,"ddd")</f>
        <v>Wed</v>
      </c>
      <c r="G43" s="4" t="n">
        <f aca="false">Settings!$B$4+(B43-1)*Settings!$B$11+INDEX(Settings!$B$7:$B$9,MATCH(E43,Settings!$A$7:$A$9,0))</f>
        <v>46414</v>
      </c>
      <c r="H43" s="5" t="n">
        <f aca="false">G43-G42</f>
        <v>2</v>
      </c>
      <c r="I43" s="6" t="s">
        <v>42</v>
      </c>
      <c r="J43" s="2" t="s">
        <v>19</v>
      </c>
      <c r="K43" s="2"/>
      <c r="L43" s="2"/>
    </row>
    <row r="44" customFormat="false" ht="15" hidden="false" customHeight="false" outlineLevel="0" collapsed="false">
      <c r="A44" s="2" t="n">
        <v>43</v>
      </c>
      <c r="B44" s="2" t="n">
        <f aca="false">INT((A44-1)/3)+1</f>
        <v>15</v>
      </c>
      <c r="C44" s="3" t="n">
        <v>15</v>
      </c>
      <c r="D44" s="2" t="s">
        <v>43</v>
      </c>
      <c r="E44" s="2" t="s">
        <v>13</v>
      </c>
      <c r="F44" s="2" t="str">
        <f aca="false">TEXT(G44,"ddd")</f>
        <v>Fri</v>
      </c>
      <c r="G44" s="4" t="n">
        <f aca="false">Settings!$B$4+(B44-1)*Settings!$B$11+INDEX(Settings!$B$7:$B$9,MATCH(E44,Settings!$A$7:$A$9,0))</f>
        <v>46416</v>
      </c>
      <c r="H44" s="5" t="n">
        <f aca="false">G44-G43</f>
        <v>2</v>
      </c>
      <c r="I44" s="6" t="s">
        <v>42</v>
      </c>
      <c r="J44" s="2" t="s">
        <v>19</v>
      </c>
      <c r="K44" s="2"/>
      <c r="L44" s="2"/>
    </row>
    <row r="45" customFormat="false" ht="15" hidden="false" customHeight="false" outlineLevel="0" collapsed="false">
      <c r="A45" s="2" t="n">
        <v>44</v>
      </c>
      <c r="B45" s="2" t="n">
        <f aca="false">INT((A45-1)/3)+1</f>
        <v>15</v>
      </c>
      <c r="C45" s="3" t="n">
        <v>15</v>
      </c>
      <c r="D45" s="2" t="s">
        <v>43</v>
      </c>
      <c r="E45" s="2" t="s">
        <v>18</v>
      </c>
      <c r="F45" s="2" t="str">
        <f aca="false">TEXT(G45,"ddd")</f>
        <v>Mon</v>
      </c>
      <c r="G45" s="4" t="n">
        <f aca="false">Settings!$B$4+(B45-1)*Settings!$B$11+INDEX(Settings!$B$7:$B$9,MATCH(E45,Settings!$A$7:$A$9,0))</f>
        <v>46419</v>
      </c>
      <c r="H45" s="5" t="n">
        <f aca="false">G45-G44</f>
        <v>3</v>
      </c>
      <c r="I45" s="6" t="s">
        <v>42</v>
      </c>
      <c r="J45" s="2" t="s">
        <v>19</v>
      </c>
      <c r="K45" s="2"/>
      <c r="L45" s="2"/>
    </row>
    <row r="46" customFormat="false" ht="15" hidden="false" customHeight="false" outlineLevel="0" collapsed="false">
      <c r="A46" s="2" t="n">
        <v>45</v>
      </c>
      <c r="B46" s="2" t="n">
        <f aca="false">INT((A46-1)/3)+1</f>
        <v>15</v>
      </c>
      <c r="C46" s="3" t="n">
        <v>15</v>
      </c>
      <c r="D46" s="2" t="s">
        <v>43</v>
      </c>
      <c r="E46" s="2" t="s">
        <v>20</v>
      </c>
      <c r="F46" s="2" t="str">
        <f aca="false">TEXT(G46,"ddd")</f>
        <v>Wed</v>
      </c>
      <c r="G46" s="4" t="n">
        <f aca="false">Settings!$B$4+(B46-1)*Settings!$B$11+INDEX(Settings!$B$7:$B$9,MATCH(E46,Settings!$A$7:$A$9,0))</f>
        <v>46421</v>
      </c>
      <c r="H46" s="5" t="n">
        <f aca="false">G46-G45</f>
        <v>2</v>
      </c>
      <c r="I46" s="6" t="s">
        <v>42</v>
      </c>
      <c r="J46" s="2" t="s">
        <v>19</v>
      </c>
      <c r="K46" s="2"/>
      <c r="L46" s="2"/>
    </row>
    <row r="47" customFormat="false" ht="15" hidden="false" customHeight="false" outlineLevel="0" collapsed="false">
      <c r="A47" s="2" t="n">
        <v>46</v>
      </c>
      <c r="B47" s="2" t="n">
        <f aca="false">INT((A47-1)/3)+1</f>
        <v>16</v>
      </c>
      <c r="C47" s="3" t="n">
        <v>16</v>
      </c>
      <c r="D47" s="2" t="s">
        <v>44</v>
      </c>
      <c r="E47" s="2" t="s">
        <v>13</v>
      </c>
      <c r="F47" s="2" t="str">
        <f aca="false">TEXT(G47,"ddd")</f>
        <v>Fri</v>
      </c>
      <c r="G47" s="4" t="n">
        <f aca="false">Settings!$B$4+(B47-1)*Settings!$B$11+INDEX(Settings!$B$7:$B$9,MATCH(E47,Settings!$A$7:$A$9,0))</f>
        <v>46423</v>
      </c>
      <c r="H47" s="5" t="n">
        <f aca="false">G47-G46</f>
        <v>2</v>
      </c>
      <c r="I47" s="6" t="s">
        <v>45</v>
      </c>
      <c r="J47" s="2" t="s">
        <v>19</v>
      </c>
      <c r="K47" s="2"/>
      <c r="L47" s="2"/>
    </row>
    <row r="48" customFormat="false" ht="15" hidden="false" customHeight="false" outlineLevel="0" collapsed="false">
      <c r="A48" s="2" t="n">
        <v>47</v>
      </c>
      <c r="B48" s="2" t="n">
        <f aca="false">INT((A48-1)/3)+1</f>
        <v>16</v>
      </c>
      <c r="C48" s="3" t="n">
        <v>16</v>
      </c>
      <c r="D48" s="2" t="s">
        <v>44</v>
      </c>
      <c r="E48" s="2" t="s">
        <v>18</v>
      </c>
      <c r="F48" s="2" t="str">
        <f aca="false">TEXT(G48,"ddd")</f>
        <v>Mon</v>
      </c>
      <c r="G48" s="4" t="n">
        <f aca="false">Settings!$B$4+(B48-1)*Settings!$B$11+INDEX(Settings!$B$7:$B$9,MATCH(E48,Settings!$A$7:$A$9,0))</f>
        <v>46426</v>
      </c>
      <c r="H48" s="5" t="n">
        <f aca="false">G48-G47</f>
        <v>3</v>
      </c>
      <c r="I48" s="6" t="s">
        <v>45</v>
      </c>
      <c r="J48" s="2" t="s">
        <v>19</v>
      </c>
      <c r="K48" s="2"/>
      <c r="L48" s="2"/>
    </row>
    <row r="49" customFormat="false" ht="15" hidden="false" customHeight="false" outlineLevel="0" collapsed="false">
      <c r="A49" s="2" t="n">
        <v>48</v>
      </c>
      <c r="B49" s="2" t="n">
        <f aca="false">INT((A49-1)/3)+1</f>
        <v>16</v>
      </c>
      <c r="C49" s="3" t="n">
        <v>16</v>
      </c>
      <c r="D49" s="2" t="s">
        <v>44</v>
      </c>
      <c r="E49" s="2" t="s">
        <v>20</v>
      </c>
      <c r="F49" s="2" t="str">
        <f aca="false">TEXT(G49,"ddd")</f>
        <v>Wed</v>
      </c>
      <c r="G49" s="4" t="n">
        <f aca="false">Settings!$B$4+(B49-1)*Settings!$B$11+INDEX(Settings!$B$7:$B$9,MATCH(E49,Settings!$A$7:$A$9,0))</f>
        <v>46428</v>
      </c>
      <c r="H49" s="5" t="n">
        <f aca="false">G49-G48</f>
        <v>2</v>
      </c>
      <c r="I49" s="6" t="s">
        <v>45</v>
      </c>
      <c r="J49" s="2" t="s">
        <v>19</v>
      </c>
      <c r="K49" s="2"/>
      <c r="L49" s="2"/>
    </row>
    <row r="50" customFormat="false" ht="15" hidden="false" customHeight="false" outlineLevel="0" collapsed="false">
      <c r="A50" s="2" t="n">
        <v>49</v>
      </c>
      <c r="B50" s="2" t="n">
        <f aca="false">INT((A50-1)/3)+1</f>
        <v>17</v>
      </c>
      <c r="C50" s="3" t="n">
        <v>17</v>
      </c>
      <c r="D50" s="2" t="s">
        <v>46</v>
      </c>
      <c r="E50" s="2" t="s">
        <v>13</v>
      </c>
      <c r="F50" s="2" t="str">
        <f aca="false">TEXT(G50,"ddd")</f>
        <v>Fri</v>
      </c>
      <c r="G50" s="4" t="n">
        <f aca="false">Settings!$B$4+(B50-1)*Settings!$B$11+INDEX(Settings!$B$7:$B$9,MATCH(E50,Settings!$A$7:$A$9,0))</f>
        <v>46430</v>
      </c>
      <c r="H50" s="5" t="n">
        <f aca="false">G50-G49</f>
        <v>2</v>
      </c>
      <c r="I50" s="6" t="s">
        <v>45</v>
      </c>
      <c r="J50" s="2" t="s">
        <v>19</v>
      </c>
      <c r="K50" s="2"/>
      <c r="L50" s="2"/>
    </row>
    <row r="51" customFormat="false" ht="15" hidden="false" customHeight="false" outlineLevel="0" collapsed="false">
      <c r="A51" s="2" t="n">
        <v>50</v>
      </c>
      <c r="B51" s="2" t="n">
        <f aca="false">INT((A51-1)/3)+1</f>
        <v>17</v>
      </c>
      <c r="C51" s="3" t="n">
        <v>17</v>
      </c>
      <c r="D51" s="2" t="s">
        <v>46</v>
      </c>
      <c r="E51" s="2" t="s">
        <v>18</v>
      </c>
      <c r="F51" s="2" t="str">
        <f aca="false">TEXT(G51,"ddd")</f>
        <v>Mon</v>
      </c>
      <c r="G51" s="4" t="n">
        <f aca="false">Settings!$B$4+(B51-1)*Settings!$B$11+INDEX(Settings!$B$7:$B$9,MATCH(E51,Settings!$A$7:$A$9,0))</f>
        <v>46433</v>
      </c>
      <c r="H51" s="5" t="n">
        <f aca="false">G51-G50</f>
        <v>3</v>
      </c>
      <c r="I51" s="6" t="s">
        <v>45</v>
      </c>
      <c r="J51" s="2" t="s">
        <v>19</v>
      </c>
      <c r="K51" s="2"/>
      <c r="L51" s="2"/>
    </row>
    <row r="52" customFormat="false" ht="15" hidden="false" customHeight="false" outlineLevel="0" collapsed="false">
      <c r="A52" s="2" t="n">
        <v>51</v>
      </c>
      <c r="B52" s="2" t="n">
        <f aca="false">INT((A52-1)/3)+1</f>
        <v>17</v>
      </c>
      <c r="C52" s="3" t="n">
        <v>17</v>
      </c>
      <c r="D52" s="2" t="s">
        <v>46</v>
      </c>
      <c r="E52" s="2" t="s">
        <v>20</v>
      </c>
      <c r="F52" s="2" t="str">
        <f aca="false">TEXT(G52,"ddd")</f>
        <v>Wed</v>
      </c>
      <c r="G52" s="4" t="n">
        <f aca="false">Settings!$B$4+(B52-1)*Settings!$B$11+INDEX(Settings!$B$7:$B$9,MATCH(E52,Settings!$A$7:$A$9,0))</f>
        <v>46435</v>
      </c>
      <c r="H52" s="5" t="n">
        <f aca="false">G52-G51</f>
        <v>2</v>
      </c>
      <c r="I52" s="6" t="s">
        <v>45</v>
      </c>
      <c r="J52" s="2" t="s">
        <v>19</v>
      </c>
      <c r="K52" s="2"/>
      <c r="L52" s="2"/>
    </row>
    <row r="53" customFormat="false" ht="15" hidden="false" customHeight="false" outlineLevel="0" collapsed="false">
      <c r="A53" s="2" t="n">
        <v>52</v>
      </c>
      <c r="B53" s="2" t="n">
        <f aca="false">INT((A53-1)/3)+1</f>
        <v>18</v>
      </c>
      <c r="C53" s="3" t="n">
        <v>18</v>
      </c>
      <c r="D53" s="2" t="s">
        <v>47</v>
      </c>
      <c r="E53" s="2" t="s">
        <v>13</v>
      </c>
      <c r="F53" s="2" t="str">
        <f aca="false">TEXT(G53,"ddd")</f>
        <v>Fri</v>
      </c>
      <c r="G53" s="4" t="n">
        <f aca="false">Settings!$B$4+(B53-1)*Settings!$B$11+INDEX(Settings!$B$7:$B$9,MATCH(E53,Settings!$A$7:$A$9,0))</f>
        <v>46437</v>
      </c>
      <c r="H53" s="5" t="n">
        <f aca="false">G53-G52</f>
        <v>2</v>
      </c>
      <c r="I53" s="6" t="s">
        <v>45</v>
      </c>
      <c r="J53" s="2" t="s">
        <v>19</v>
      </c>
      <c r="K53" s="2"/>
      <c r="L53" s="2"/>
    </row>
    <row r="54" customFormat="false" ht="15" hidden="false" customHeight="false" outlineLevel="0" collapsed="false">
      <c r="A54" s="2" t="n">
        <v>53</v>
      </c>
      <c r="B54" s="2" t="n">
        <f aca="false">INT((A54-1)/3)+1</f>
        <v>18</v>
      </c>
      <c r="C54" s="3" t="n">
        <v>18</v>
      </c>
      <c r="D54" s="2" t="s">
        <v>47</v>
      </c>
      <c r="E54" s="2" t="s">
        <v>18</v>
      </c>
      <c r="F54" s="2" t="str">
        <f aca="false">TEXT(G54,"ddd")</f>
        <v>Mon</v>
      </c>
      <c r="G54" s="4" t="n">
        <f aca="false">Settings!$B$4+(B54-1)*Settings!$B$11+INDEX(Settings!$B$7:$B$9,MATCH(E54,Settings!$A$7:$A$9,0))</f>
        <v>46440</v>
      </c>
      <c r="H54" s="5" t="n">
        <f aca="false">G54-G53</f>
        <v>3</v>
      </c>
      <c r="I54" s="6" t="s">
        <v>45</v>
      </c>
      <c r="J54" s="2" t="s">
        <v>19</v>
      </c>
      <c r="K54" s="2"/>
      <c r="L54" s="2"/>
    </row>
    <row r="55" customFormat="false" ht="15" hidden="false" customHeight="false" outlineLevel="0" collapsed="false">
      <c r="A55" s="2" t="n">
        <v>54</v>
      </c>
      <c r="B55" s="2" t="n">
        <f aca="false">INT((A55-1)/3)+1</f>
        <v>18</v>
      </c>
      <c r="C55" s="3" t="n">
        <v>18</v>
      </c>
      <c r="D55" s="2" t="s">
        <v>47</v>
      </c>
      <c r="E55" s="2" t="s">
        <v>20</v>
      </c>
      <c r="F55" s="2" t="str">
        <f aca="false">TEXT(G55,"ddd")</f>
        <v>Wed</v>
      </c>
      <c r="G55" s="4" t="n">
        <f aca="false">Settings!$B$4+(B55-1)*Settings!$B$11+INDEX(Settings!$B$7:$B$9,MATCH(E55,Settings!$A$7:$A$9,0))</f>
        <v>46442</v>
      </c>
      <c r="H55" s="5" t="n">
        <f aca="false">G55-G54</f>
        <v>2</v>
      </c>
      <c r="I55" s="6" t="s">
        <v>45</v>
      </c>
      <c r="J55" s="2" t="s">
        <v>19</v>
      </c>
      <c r="K55" s="2"/>
      <c r="L55" s="2"/>
    </row>
    <row r="56" customFormat="false" ht="15" hidden="false" customHeight="false" outlineLevel="0" collapsed="false">
      <c r="A56" s="2" t="n">
        <v>55</v>
      </c>
      <c r="B56" s="2" t="n">
        <f aca="false">INT((A56-1)/3)+1</f>
        <v>19</v>
      </c>
      <c r="C56" s="3" t="n">
        <v>19</v>
      </c>
      <c r="D56" s="2" t="s">
        <v>48</v>
      </c>
      <c r="E56" s="2" t="s">
        <v>13</v>
      </c>
      <c r="F56" s="2" t="str">
        <f aca="false">TEXT(G56,"ddd")</f>
        <v>Fri</v>
      </c>
      <c r="G56" s="4" t="n">
        <f aca="false">Settings!$B$4+(B56-1)*Settings!$B$11+INDEX(Settings!$B$7:$B$9,MATCH(E56,Settings!$A$7:$A$9,0))</f>
        <v>46444</v>
      </c>
      <c r="H56" s="5" t="n">
        <f aca="false">G56-G55</f>
        <v>2</v>
      </c>
      <c r="I56" s="6" t="s">
        <v>49</v>
      </c>
      <c r="J56" s="2" t="s">
        <v>19</v>
      </c>
      <c r="K56" s="2"/>
      <c r="L56" s="2"/>
    </row>
    <row r="57" customFormat="false" ht="15" hidden="false" customHeight="false" outlineLevel="0" collapsed="false">
      <c r="A57" s="2" t="n">
        <v>56</v>
      </c>
      <c r="B57" s="2" t="n">
        <f aca="false">INT((A57-1)/3)+1</f>
        <v>19</v>
      </c>
      <c r="C57" s="3" t="n">
        <v>19</v>
      </c>
      <c r="D57" s="2" t="s">
        <v>48</v>
      </c>
      <c r="E57" s="2" t="s">
        <v>18</v>
      </c>
      <c r="F57" s="2" t="str">
        <f aca="false">TEXT(G57,"ddd")</f>
        <v>Mon</v>
      </c>
      <c r="G57" s="4" t="n">
        <f aca="false">Settings!$B$4+(B57-1)*Settings!$B$11+INDEX(Settings!$B$7:$B$9,MATCH(E57,Settings!$A$7:$A$9,0))</f>
        <v>46447</v>
      </c>
      <c r="H57" s="5" t="n">
        <f aca="false">G57-G56</f>
        <v>3</v>
      </c>
      <c r="I57" s="6" t="s">
        <v>49</v>
      </c>
      <c r="J57" s="2" t="s">
        <v>19</v>
      </c>
      <c r="K57" s="2"/>
      <c r="L57" s="2"/>
    </row>
    <row r="58" customFormat="false" ht="15" hidden="false" customHeight="false" outlineLevel="0" collapsed="false">
      <c r="A58" s="2" t="n">
        <v>57</v>
      </c>
      <c r="B58" s="2" t="n">
        <f aca="false">INT((A58-1)/3)+1</f>
        <v>19</v>
      </c>
      <c r="C58" s="3" t="n">
        <v>19</v>
      </c>
      <c r="D58" s="2" t="s">
        <v>48</v>
      </c>
      <c r="E58" s="2" t="s">
        <v>20</v>
      </c>
      <c r="F58" s="2" t="str">
        <f aca="false">TEXT(G58,"ddd")</f>
        <v>Wed</v>
      </c>
      <c r="G58" s="4" t="n">
        <f aca="false">Settings!$B$4+(B58-1)*Settings!$B$11+INDEX(Settings!$B$7:$B$9,MATCH(E58,Settings!$A$7:$A$9,0))</f>
        <v>46449</v>
      </c>
      <c r="H58" s="5" t="n">
        <f aca="false">G58-G57</f>
        <v>2</v>
      </c>
      <c r="I58" s="6" t="s">
        <v>49</v>
      </c>
      <c r="J58" s="2" t="s">
        <v>19</v>
      </c>
      <c r="K58" s="2"/>
      <c r="L58" s="2"/>
    </row>
    <row r="59" customFormat="false" ht="15" hidden="false" customHeight="false" outlineLevel="0" collapsed="false">
      <c r="A59" s="2" t="n">
        <v>58</v>
      </c>
      <c r="B59" s="2" t="n">
        <f aca="false">INT((A59-1)/3)+1</f>
        <v>20</v>
      </c>
      <c r="C59" s="3" t="n">
        <v>20</v>
      </c>
      <c r="D59" s="2" t="s">
        <v>50</v>
      </c>
      <c r="E59" s="2" t="s">
        <v>13</v>
      </c>
      <c r="F59" s="2" t="str">
        <f aca="false">TEXT(G59,"ddd")</f>
        <v>Fri</v>
      </c>
      <c r="G59" s="4" t="n">
        <f aca="false">Settings!$B$4+(B59-1)*Settings!$B$11+INDEX(Settings!$B$7:$B$9,MATCH(E59,Settings!$A$7:$A$9,0))</f>
        <v>46451</v>
      </c>
      <c r="H59" s="5" t="n">
        <f aca="false">G59-G58</f>
        <v>2</v>
      </c>
      <c r="I59" s="6" t="s">
        <v>49</v>
      </c>
      <c r="J59" s="2" t="s">
        <v>19</v>
      </c>
      <c r="K59" s="2"/>
      <c r="L59" s="2"/>
    </row>
    <row r="60" customFormat="false" ht="15" hidden="false" customHeight="false" outlineLevel="0" collapsed="false">
      <c r="A60" s="2" t="n">
        <v>59</v>
      </c>
      <c r="B60" s="2" t="n">
        <f aca="false">INT((A60-1)/3)+1</f>
        <v>20</v>
      </c>
      <c r="C60" s="3" t="n">
        <v>20</v>
      </c>
      <c r="D60" s="2" t="s">
        <v>50</v>
      </c>
      <c r="E60" s="2" t="s">
        <v>18</v>
      </c>
      <c r="F60" s="2" t="str">
        <f aca="false">TEXT(G60,"ddd")</f>
        <v>Mon</v>
      </c>
      <c r="G60" s="4" t="n">
        <f aca="false">Settings!$B$4+(B60-1)*Settings!$B$11+INDEX(Settings!$B$7:$B$9,MATCH(E60,Settings!$A$7:$A$9,0))</f>
        <v>46454</v>
      </c>
      <c r="H60" s="5" t="n">
        <f aca="false">G60-G59</f>
        <v>3</v>
      </c>
      <c r="I60" s="6" t="s">
        <v>49</v>
      </c>
      <c r="J60" s="2" t="s">
        <v>19</v>
      </c>
      <c r="K60" s="2"/>
      <c r="L60" s="2"/>
    </row>
    <row r="61" customFormat="false" ht="15" hidden="false" customHeight="false" outlineLevel="0" collapsed="false">
      <c r="A61" s="2" t="n">
        <v>60</v>
      </c>
      <c r="B61" s="2" t="n">
        <f aca="false">INT((A61-1)/3)+1</f>
        <v>20</v>
      </c>
      <c r="C61" s="3" t="n">
        <v>20</v>
      </c>
      <c r="D61" s="2" t="s">
        <v>50</v>
      </c>
      <c r="E61" s="2" t="s">
        <v>20</v>
      </c>
      <c r="F61" s="2" t="str">
        <f aca="false">TEXT(G61,"ddd")</f>
        <v>Wed</v>
      </c>
      <c r="G61" s="4" t="n">
        <f aca="false">Settings!$B$4+(B61-1)*Settings!$B$11+INDEX(Settings!$B$7:$B$9,MATCH(E61,Settings!$A$7:$A$9,0))</f>
        <v>46456</v>
      </c>
      <c r="H61" s="5" t="n">
        <f aca="false">G61-G60</f>
        <v>2</v>
      </c>
      <c r="I61" s="6" t="s">
        <v>49</v>
      </c>
      <c r="J61" s="2" t="s">
        <v>19</v>
      </c>
      <c r="K61" s="2"/>
      <c r="L61" s="2"/>
    </row>
    <row r="62" customFormat="false" ht="15" hidden="false" customHeight="false" outlineLevel="0" collapsed="false">
      <c r="A62" s="2" t="n">
        <v>61</v>
      </c>
      <c r="B62" s="2" t="n">
        <f aca="false">INT((A62-1)/3)+1</f>
        <v>21</v>
      </c>
      <c r="C62" s="3" t="n">
        <v>21</v>
      </c>
      <c r="D62" s="2" t="s">
        <v>51</v>
      </c>
      <c r="E62" s="2" t="s">
        <v>13</v>
      </c>
      <c r="F62" s="2" t="str">
        <f aca="false">TEXT(G62,"ddd")</f>
        <v>Fri</v>
      </c>
      <c r="G62" s="4" t="n">
        <f aca="false">Settings!$B$4+(B62-1)*Settings!$B$11+INDEX(Settings!$B$7:$B$9,MATCH(E62,Settings!$A$7:$A$9,0))</f>
        <v>46458</v>
      </c>
      <c r="H62" s="5" t="n">
        <f aca="false">G62-G61</f>
        <v>2</v>
      </c>
      <c r="I62" s="6" t="s">
        <v>49</v>
      </c>
      <c r="J62" s="2" t="s">
        <v>19</v>
      </c>
      <c r="K62" s="2"/>
      <c r="L62" s="2"/>
    </row>
    <row r="63" customFormat="false" ht="15" hidden="false" customHeight="false" outlineLevel="0" collapsed="false">
      <c r="A63" s="2" t="n">
        <v>62</v>
      </c>
      <c r="B63" s="2" t="n">
        <f aca="false">INT((A63-1)/3)+1</f>
        <v>21</v>
      </c>
      <c r="C63" s="3" t="n">
        <v>21</v>
      </c>
      <c r="D63" s="2" t="s">
        <v>51</v>
      </c>
      <c r="E63" s="2" t="s">
        <v>18</v>
      </c>
      <c r="F63" s="2" t="str">
        <f aca="false">TEXT(G63,"ddd")</f>
        <v>Mon</v>
      </c>
      <c r="G63" s="4" t="n">
        <f aca="false">Settings!$B$4+(B63-1)*Settings!$B$11+INDEX(Settings!$B$7:$B$9,MATCH(E63,Settings!$A$7:$A$9,0))</f>
        <v>46461</v>
      </c>
      <c r="H63" s="5" t="n">
        <f aca="false">G63-G62</f>
        <v>3</v>
      </c>
      <c r="I63" s="6" t="s">
        <v>49</v>
      </c>
      <c r="J63" s="2" t="s">
        <v>19</v>
      </c>
      <c r="K63" s="2"/>
      <c r="L63" s="2"/>
    </row>
    <row r="64" customFormat="false" ht="15" hidden="false" customHeight="false" outlineLevel="0" collapsed="false">
      <c r="A64" s="2" t="n">
        <v>63</v>
      </c>
      <c r="B64" s="2" t="n">
        <f aca="false">INT((A64-1)/3)+1</f>
        <v>21</v>
      </c>
      <c r="C64" s="3" t="n">
        <v>21</v>
      </c>
      <c r="D64" s="2" t="s">
        <v>51</v>
      </c>
      <c r="E64" s="2" t="s">
        <v>20</v>
      </c>
      <c r="F64" s="2" t="str">
        <f aca="false">TEXT(G64,"ddd")</f>
        <v>Wed</v>
      </c>
      <c r="G64" s="4" t="n">
        <f aca="false">Settings!$B$4+(B64-1)*Settings!$B$11+INDEX(Settings!$B$7:$B$9,MATCH(E64,Settings!$A$7:$A$9,0))</f>
        <v>46463</v>
      </c>
      <c r="H64" s="5" t="n">
        <f aca="false">G64-G63</f>
        <v>2</v>
      </c>
      <c r="I64" s="6" t="s">
        <v>49</v>
      </c>
      <c r="J64" s="2" t="s">
        <v>19</v>
      </c>
      <c r="K64" s="2"/>
      <c r="L64" s="2"/>
    </row>
    <row r="65" customFormat="false" ht="15" hidden="false" customHeight="false" outlineLevel="0" collapsed="false">
      <c r="A65" s="2" t="n">
        <v>64</v>
      </c>
      <c r="B65" s="2" t="n">
        <f aca="false">INT((A65-1)/3)+1</f>
        <v>22</v>
      </c>
      <c r="C65" s="3" t="n">
        <v>22</v>
      </c>
      <c r="D65" s="2" t="s">
        <v>52</v>
      </c>
      <c r="E65" s="2" t="s">
        <v>13</v>
      </c>
      <c r="F65" s="2" t="str">
        <f aca="false">TEXT(G65,"ddd")</f>
        <v>Fri</v>
      </c>
      <c r="G65" s="4" t="n">
        <f aca="false">Settings!$B$4+(B65-1)*Settings!$B$11+INDEX(Settings!$B$7:$B$9,MATCH(E65,Settings!$A$7:$A$9,0))</f>
        <v>46465</v>
      </c>
      <c r="H65" s="5" t="n">
        <f aca="false">G65-G64</f>
        <v>2</v>
      </c>
      <c r="I65" s="6" t="s">
        <v>53</v>
      </c>
      <c r="J65" s="2" t="s">
        <v>19</v>
      </c>
      <c r="K65" s="2"/>
      <c r="L65" s="2"/>
    </row>
    <row r="66" customFormat="false" ht="15" hidden="false" customHeight="false" outlineLevel="0" collapsed="false">
      <c r="A66" s="2" t="n">
        <v>65</v>
      </c>
      <c r="B66" s="2" t="n">
        <f aca="false">INT((A66-1)/3)+1</f>
        <v>22</v>
      </c>
      <c r="C66" s="3" t="n">
        <v>22</v>
      </c>
      <c r="D66" s="2" t="s">
        <v>52</v>
      </c>
      <c r="E66" s="2" t="s">
        <v>18</v>
      </c>
      <c r="F66" s="2" t="str">
        <f aca="false">TEXT(G66,"ddd")</f>
        <v>Mon</v>
      </c>
      <c r="G66" s="4" t="n">
        <f aca="false">Settings!$B$4+(B66-1)*Settings!$B$11+INDEX(Settings!$B$7:$B$9,MATCH(E66,Settings!$A$7:$A$9,0))</f>
        <v>46468</v>
      </c>
      <c r="H66" s="5" t="n">
        <f aca="false">G66-G65</f>
        <v>3</v>
      </c>
      <c r="I66" s="6" t="s">
        <v>53</v>
      </c>
      <c r="J66" s="2" t="s">
        <v>19</v>
      </c>
      <c r="K66" s="2"/>
      <c r="L66" s="2"/>
    </row>
    <row r="67" customFormat="false" ht="15" hidden="false" customHeight="false" outlineLevel="0" collapsed="false">
      <c r="A67" s="2" t="n">
        <v>66</v>
      </c>
      <c r="B67" s="2" t="n">
        <f aca="false">INT((A67-1)/3)+1</f>
        <v>22</v>
      </c>
      <c r="C67" s="3" t="n">
        <v>22</v>
      </c>
      <c r="D67" s="2" t="s">
        <v>52</v>
      </c>
      <c r="E67" s="2" t="s">
        <v>20</v>
      </c>
      <c r="F67" s="2" t="str">
        <f aca="false">TEXT(G67,"ddd")</f>
        <v>Wed</v>
      </c>
      <c r="G67" s="4" t="n">
        <f aca="false">Settings!$B$4+(B67-1)*Settings!$B$11+INDEX(Settings!$B$7:$B$9,MATCH(E67,Settings!$A$7:$A$9,0))</f>
        <v>46470</v>
      </c>
      <c r="H67" s="5" t="n">
        <f aca="false">G67-G66</f>
        <v>2</v>
      </c>
      <c r="I67" s="6" t="s">
        <v>53</v>
      </c>
      <c r="J67" s="2" t="s">
        <v>19</v>
      </c>
      <c r="K67" s="2"/>
      <c r="L67" s="2"/>
    </row>
    <row r="68" customFormat="false" ht="15" hidden="false" customHeight="false" outlineLevel="0" collapsed="false">
      <c r="A68" s="2" t="n">
        <v>67</v>
      </c>
      <c r="B68" s="2" t="n">
        <f aca="false">INT((A68-1)/3)+1</f>
        <v>23</v>
      </c>
      <c r="C68" s="3" t="n">
        <v>23</v>
      </c>
      <c r="D68" s="2" t="s">
        <v>54</v>
      </c>
      <c r="E68" s="2" t="s">
        <v>13</v>
      </c>
      <c r="F68" s="2" t="str">
        <f aca="false">TEXT(G68,"ddd")</f>
        <v>Fri</v>
      </c>
      <c r="G68" s="4" t="n">
        <f aca="false">Settings!$B$4+(B68-1)*Settings!$B$11+INDEX(Settings!$B$7:$B$9,MATCH(E68,Settings!$A$7:$A$9,0))</f>
        <v>46472</v>
      </c>
      <c r="H68" s="5" t="n">
        <f aca="false">G68-G67</f>
        <v>2</v>
      </c>
      <c r="I68" s="6" t="s">
        <v>53</v>
      </c>
      <c r="J68" s="2" t="s">
        <v>19</v>
      </c>
      <c r="K68" s="2"/>
      <c r="L68" s="2"/>
    </row>
    <row r="69" customFormat="false" ht="15" hidden="false" customHeight="false" outlineLevel="0" collapsed="false">
      <c r="A69" s="2" t="n">
        <v>68</v>
      </c>
      <c r="B69" s="2" t="n">
        <f aca="false">INT((A69-1)/3)+1</f>
        <v>23</v>
      </c>
      <c r="C69" s="3" t="n">
        <v>23</v>
      </c>
      <c r="D69" s="2" t="s">
        <v>54</v>
      </c>
      <c r="E69" s="2" t="s">
        <v>18</v>
      </c>
      <c r="F69" s="2" t="str">
        <f aca="false">TEXT(G69,"ddd")</f>
        <v>Mon</v>
      </c>
      <c r="G69" s="4" t="n">
        <f aca="false">Settings!$B$4+(B69-1)*Settings!$B$11+INDEX(Settings!$B$7:$B$9,MATCH(E69,Settings!$A$7:$A$9,0))</f>
        <v>46475</v>
      </c>
      <c r="H69" s="5" t="n">
        <f aca="false">G69-G68</f>
        <v>3</v>
      </c>
      <c r="I69" s="6" t="s">
        <v>53</v>
      </c>
      <c r="J69" s="2" t="s">
        <v>19</v>
      </c>
      <c r="K69" s="2"/>
      <c r="L69" s="2"/>
    </row>
    <row r="70" customFormat="false" ht="15" hidden="false" customHeight="false" outlineLevel="0" collapsed="false">
      <c r="A70" s="2" t="n">
        <v>69</v>
      </c>
      <c r="B70" s="2" t="n">
        <f aca="false">INT((A70-1)/3)+1</f>
        <v>23</v>
      </c>
      <c r="C70" s="3" t="n">
        <v>23</v>
      </c>
      <c r="D70" s="2" t="s">
        <v>54</v>
      </c>
      <c r="E70" s="2" t="s">
        <v>20</v>
      </c>
      <c r="F70" s="2" t="str">
        <f aca="false">TEXT(G70,"ddd")</f>
        <v>Wed</v>
      </c>
      <c r="G70" s="4" t="n">
        <f aca="false">Settings!$B$4+(B70-1)*Settings!$B$11+INDEX(Settings!$B$7:$B$9,MATCH(E70,Settings!$A$7:$A$9,0))</f>
        <v>46477</v>
      </c>
      <c r="H70" s="5" t="n">
        <f aca="false">G70-G69</f>
        <v>2</v>
      </c>
      <c r="I70" s="6" t="s">
        <v>53</v>
      </c>
      <c r="J70" s="2" t="s">
        <v>19</v>
      </c>
      <c r="K70" s="2"/>
      <c r="L70" s="2"/>
    </row>
    <row r="71" customFormat="false" ht="15" hidden="false" customHeight="false" outlineLevel="0" collapsed="false">
      <c r="A71" s="2" t="n">
        <v>70</v>
      </c>
      <c r="B71" s="2" t="n">
        <f aca="false">INT((A71-1)/3)+1</f>
        <v>24</v>
      </c>
      <c r="C71" s="3" t="n">
        <v>24</v>
      </c>
      <c r="D71" s="2" t="s">
        <v>55</v>
      </c>
      <c r="E71" s="2" t="s">
        <v>13</v>
      </c>
      <c r="F71" s="2" t="str">
        <f aca="false">TEXT(G71,"ddd")</f>
        <v>Fri</v>
      </c>
      <c r="G71" s="4" t="n">
        <f aca="false">Settings!$B$4+(B71-1)*Settings!$B$11+INDEX(Settings!$B$7:$B$9,MATCH(E71,Settings!$A$7:$A$9,0))</f>
        <v>46479</v>
      </c>
      <c r="H71" s="5" t="n">
        <f aca="false">G71-G70</f>
        <v>2</v>
      </c>
      <c r="I71" s="6" t="s">
        <v>53</v>
      </c>
      <c r="J71" s="2" t="s">
        <v>19</v>
      </c>
      <c r="K71" s="2"/>
      <c r="L71" s="2"/>
    </row>
    <row r="72" customFormat="false" ht="15" hidden="false" customHeight="false" outlineLevel="0" collapsed="false">
      <c r="A72" s="2" t="n">
        <v>71</v>
      </c>
      <c r="B72" s="2" t="n">
        <f aca="false">INT((A72-1)/3)+1</f>
        <v>24</v>
      </c>
      <c r="C72" s="3" t="n">
        <v>24</v>
      </c>
      <c r="D72" s="2" t="s">
        <v>55</v>
      </c>
      <c r="E72" s="2" t="s">
        <v>18</v>
      </c>
      <c r="F72" s="2" t="str">
        <f aca="false">TEXT(G72,"ddd")</f>
        <v>Mon</v>
      </c>
      <c r="G72" s="4" t="n">
        <f aca="false">Settings!$B$4+(B72-1)*Settings!$B$11+INDEX(Settings!$B$7:$B$9,MATCH(E72,Settings!$A$7:$A$9,0))</f>
        <v>46482</v>
      </c>
      <c r="H72" s="5" t="n">
        <f aca="false">G72-G71</f>
        <v>3</v>
      </c>
      <c r="I72" s="6" t="s">
        <v>53</v>
      </c>
      <c r="J72" s="2" t="s">
        <v>19</v>
      </c>
      <c r="K72" s="2"/>
      <c r="L72" s="2"/>
    </row>
    <row r="73" customFormat="false" ht="15" hidden="false" customHeight="false" outlineLevel="0" collapsed="false">
      <c r="A73" s="2" t="n">
        <v>72</v>
      </c>
      <c r="B73" s="2" t="n">
        <f aca="false">INT((A73-1)/3)+1</f>
        <v>24</v>
      </c>
      <c r="C73" s="3" t="n">
        <v>24</v>
      </c>
      <c r="D73" s="2" t="s">
        <v>55</v>
      </c>
      <c r="E73" s="2" t="s">
        <v>20</v>
      </c>
      <c r="F73" s="2" t="str">
        <f aca="false">TEXT(G73,"ddd")</f>
        <v>Wed</v>
      </c>
      <c r="G73" s="4" t="n">
        <f aca="false">Settings!$B$4+(B73-1)*Settings!$B$11+INDEX(Settings!$B$7:$B$9,MATCH(E73,Settings!$A$7:$A$9,0))</f>
        <v>46484</v>
      </c>
      <c r="H73" s="5" t="n">
        <f aca="false">G73-G72</f>
        <v>2</v>
      </c>
      <c r="I73" s="6" t="s">
        <v>53</v>
      </c>
      <c r="J73" s="2" t="s">
        <v>19</v>
      </c>
      <c r="K73" s="2"/>
      <c r="L73" s="2"/>
    </row>
    <row r="74" customFormat="false" ht="15" hidden="false" customHeight="false" outlineLevel="0" collapsed="false">
      <c r="A74" s="2" t="n">
        <v>73</v>
      </c>
      <c r="B74" s="2" t="n">
        <f aca="false">INT((A74-1)/3)+1</f>
        <v>25</v>
      </c>
      <c r="C74" s="3" t="n">
        <v>25</v>
      </c>
      <c r="D74" s="2" t="s">
        <v>56</v>
      </c>
      <c r="E74" s="2" t="s">
        <v>13</v>
      </c>
      <c r="F74" s="2" t="str">
        <f aca="false">TEXT(G74,"ddd")</f>
        <v>Fri</v>
      </c>
      <c r="G74" s="4" t="n">
        <f aca="false">Settings!$B$4+(B74-1)*Settings!$B$11+INDEX(Settings!$B$7:$B$9,MATCH(E74,Settings!$A$7:$A$9,0))</f>
        <v>46486</v>
      </c>
      <c r="H74" s="5" t="n">
        <f aca="false">G74-G73</f>
        <v>2</v>
      </c>
      <c r="I74" s="6" t="s">
        <v>57</v>
      </c>
      <c r="J74" s="2" t="s">
        <v>19</v>
      </c>
      <c r="K74" s="2"/>
      <c r="L74" s="2"/>
    </row>
    <row r="75" customFormat="false" ht="15" hidden="false" customHeight="false" outlineLevel="0" collapsed="false">
      <c r="A75" s="2" t="n">
        <v>74</v>
      </c>
      <c r="B75" s="2" t="n">
        <f aca="false">INT((A75-1)/3)+1</f>
        <v>25</v>
      </c>
      <c r="C75" s="3" t="n">
        <v>25</v>
      </c>
      <c r="D75" s="2" t="s">
        <v>56</v>
      </c>
      <c r="E75" s="2" t="s">
        <v>18</v>
      </c>
      <c r="F75" s="2" t="str">
        <f aca="false">TEXT(G75,"ddd")</f>
        <v>Mon</v>
      </c>
      <c r="G75" s="4" t="n">
        <f aca="false">Settings!$B$4+(B75-1)*Settings!$B$11+INDEX(Settings!$B$7:$B$9,MATCH(E75,Settings!$A$7:$A$9,0))</f>
        <v>46489</v>
      </c>
      <c r="H75" s="5" t="n">
        <f aca="false">G75-G74</f>
        <v>3</v>
      </c>
      <c r="I75" s="6" t="s">
        <v>57</v>
      </c>
      <c r="J75" s="2" t="s">
        <v>19</v>
      </c>
      <c r="K75" s="2"/>
      <c r="L75" s="2"/>
    </row>
    <row r="76" customFormat="false" ht="15" hidden="false" customHeight="false" outlineLevel="0" collapsed="false">
      <c r="A76" s="2" t="n">
        <v>75</v>
      </c>
      <c r="B76" s="2" t="n">
        <f aca="false">INT((A76-1)/3)+1</f>
        <v>25</v>
      </c>
      <c r="C76" s="3" t="n">
        <v>25</v>
      </c>
      <c r="D76" s="2" t="s">
        <v>56</v>
      </c>
      <c r="E76" s="2" t="s">
        <v>20</v>
      </c>
      <c r="F76" s="2" t="str">
        <f aca="false">TEXT(G76,"ddd")</f>
        <v>Wed</v>
      </c>
      <c r="G76" s="4" t="n">
        <f aca="false">Settings!$B$4+(B76-1)*Settings!$B$11+INDEX(Settings!$B$7:$B$9,MATCH(E76,Settings!$A$7:$A$9,0))</f>
        <v>46491</v>
      </c>
      <c r="H76" s="5" t="n">
        <f aca="false">G76-G75</f>
        <v>2</v>
      </c>
      <c r="I76" s="6" t="s">
        <v>57</v>
      </c>
      <c r="J76" s="2" t="s">
        <v>19</v>
      </c>
      <c r="K76" s="2"/>
      <c r="L76" s="2"/>
    </row>
    <row r="77" customFormat="false" ht="15" hidden="false" customHeight="false" outlineLevel="0" collapsed="false">
      <c r="A77" s="2" t="n">
        <v>76</v>
      </c>
      <c r="B77" s="2" t="n">
        <f aca="false">INT((A77-1)/3)+1</f>
        <v>26</v>
      </c>
      <c r="C77" s="3" t="n">
        <v>26</v>
      </c>
      <c r="D77" s="2" t="s">
        <v>58</v>
      </c>
      <c r="E77" s="2" t="s">
        <v>13</v>
      </c>
      <c r="F77" s="2" t="str">
        <f aca="false">TEXT(G77,"ddd")</f>
        <v>Fri</v>
      </c>
      <c r="G77" s="4" t="n">
        <f aca="false">Settings!$B$4+(B77-1)*Settings!$B$11+INDEX(Settings!$B$7:$B$9,MATCH(E77,Settings!$A$7:$A$9,0))</f>
        <v>46493</v>
      </c>
      <c r="H77" s="5" t="n">
        <f aca="false">G77-G76</f>
        <v>2</v>
      </c>
      <c r="I77" s="6" t="s">
        <v>57</v>
      </c>
      <c r="J77" s="2" t="s">
        <v>19</v>
      </c>
      <c r="K77" s="2"/>
      <c r="L77" s="2"/>
    </row>
    <row r="78" customFormat="false" ht="15" hidden="false" customHeight="false" outlineLevel="0" collapsed="false">
      <c r="A78" s="2" t="n">
        <v>77</v>
      </c>
      <c r="B78" s="2" t="n">
        <f aca="false">INT((A78-1)/3)+1</f>
        <v>26</v>
      </c>
      <c r="C78" s="3" t="n">
        <v>26</v>
      </c>
      <c r="D78" s="2" t="s">
        <v>58</v>
      </c>
      <c r="E78" s="2" t="s">
        <v>18</v>
      </c>
      <c r="F78" s="2" t="str">
        <f aca="false">TEXT(G78,"ddd")</f>
        <v>Mon</v>
      </c>
      <c r="G78" s="4" t="n">
        <f aca="false">Settings!$B$4+(B78-1)*Settings!$B$11+INDEX(Settings!$B$7:$B$9,MATCH(E78,Settings!$A$7:$A$9,0))</f>
        <v>46496</v>
      </c>
      <c r="H78" s="5" t="n">
        <f aca="false">G78-G77</f>
        <v>3</v>
      </c>
      <c r="I78" s="6" t="s">
        <v>57</v>
      </c>
      <c r="J78" s="2" t="s">
        <v>19</v>
      </c>
      <c r="K78" s="2"/>
      <c r="L78" s="2"/>
    </row>
    <row r="79" customFormat="false" ht="15" hidden="false" customHeight="false" outlineLevel="0" collapsed="false">
      <c r="A79" s="2" t="n">
        <v>78</v>
      </c>
      <c r="B79" s="2" t="n">
        <f aca="false">INT((A79-1)/3)+1</f>
        <v>26</v>
      </c>
      <c r="C79" s="3" t="n">
        <v>26</v>
      </c>
      <c r="D79" s="2" t="s">
        <v>58</v>
      </c>
      <c r="E79" s="2" t="s">
        <v>20</v>
      </c>
      <c r="F79" s="2" t="str">
        <f aca="false">TEXT(G79,"ddd")</f>
        <v>Wed</v>
      </c>
      <c r="G79" s="4" t="n">
        <f aca="false">Settings!$B$4+(B79-1)*Settings!$B$11+INDEX(Settings!$B$7:$B$9,MATCH(E79,Settings!$A$7:$A$9,0))</f>
        <v>46498</v>
      </c>
      <c r="H79" s="5" t="n">
        <f aca="false">G79-G78</f>
        <v>2</v>
      </c>
      <c r="I79" s="6" t="s">
        <v>57</v>
      </c>
      <c r="J79" s="2" t="s">
        <v>19</v>
      </c>
      <c r="K79" s="2"/>
      <c r="L79" s="2"/>
    </row>
    <row r="80" customFormat="false" ht="15" hidden="false" customHeight="false" outlineLevel="0" collapsed="false">
      <c r="A80" s="2" t="n">
        <v>79</v>
      </c>
      <c r="B80" s="2" t="n">
        <f aca="false">INT((A80-1)/3)+1</f>
        <v>27</v>
      </c>
      <c r="C80" s="3" t="n">
        <v>27</v>
      </c>
      <c r="D80" s="2" t="s">
        <v>59</v>
      </c>
      <c r="E80" s="2" t="s">
        <v>13</v>
      </c>
      <c r="F80" s="2" t="str">
        <f aca="false">TEXT(G80,"ddd")</f>
        <v>Fri</v>
      </c>
      <c r="G80" s="4" t="n">
        <f aca="false">Settings!$B$4+(B80-1)*Settings!$B$11+INDEX(Settings!$B$7:$B$9,MATCH(E80,Settings!$A$7:$A$9,0))</f>
        <v>46500</v>
      </c>
      <c r="H80" s="5" t="n">
        <f aca="false">G80-G79</f>
        <v>2</v>
      </c>
      <c r="I80" s="6" t="s">
        <v>57</v>
      </c>
      <c r="J80" s="2" t="s">
        <v>19</v>
      </c>
      <c r="K80" s="2"/>
      <c r="L80" s="2"/>
    </row>
    <row r="81" customFormat="false" ht="15" hidden="false" customHeight="false" outlineLevel="0" collapsed="false">
      <c r="A81" s="2" t="n">
        <v>80</v>
      </c>
      <c r="B81" s="2" t="n">
        <f aca="false">INT((A81-1)/3)+1</f>
        <v>27</v>
      </c>
      <c r="C81" s="3" t="n">
        <v>27</v>
      </c>
      <c r="D81" s="2" t="s">
        <v>59</v>
      </c>
      <c r="E81" s="2" t="s">
        <v>18</v>
      </c>
      <c r="F81" s="2" t="str">
        <f aca="false">TEXT(G81,"ddd")</f>
        <v>Mon</v>
      </c>
      <c r="G81" s="4" t="n">
        <f aca="false">Settings!$B$4+(B81-1)*Settings!$B$11+INDEX(Settings!$B$7:$B$9,MATCH(E81,Settings!$A$7:$A$9,0))</f>
        <v>46503</v>
      </c>
      <c r="H81" s="5" t="n">
        <f aca="false">G81-G80</f>
        <v>3</v>
      </c>
      <c r="I81" s="6" t="s">
        <v>57</v>
      </c>
      <c r="J81" s="2" t="s">
        <v>19</v>
      </c>
      <c r="K81" s="2"/>
      <c r="L81" s="2"/>
    </row>
    <row r="82" customFormat="false" ht="15" hidden="false" customHeight="false" outlineLevel="0" collapsed="false">
      <c r="A82" s="2" t="n">
        <v>81</v>
      </c>
      <c r="B82" s="2" t="n">
        <f aca="false">INT((A82-1)/3)+1</f>
        <v>27</v>
      </c>
      <c r="C82" s="3" t="n">
        <v>27</v>
      </c>
      <c r="D82" s="2" t="s">
        <v>59</v>
      </c>
      <c r="E82" s="2" t="s">
        <v>20</v>
      </c>
      <c r="F82" s="2" t="str">
        <f aca="false">TEXT(G82,"ddd")</f>
        <v>Wed</v>
      </c>
      <c r="G82" s="4" t="n">
        <f aca="false">Settings!$B$4+(B82-1)*Settings!$B$11+INDEX(Settings!$B$7:$B$9,MATCH(E82,Settings!$A$7:$A$9,0))</f>
        <v>46505</v>
      </c>
      <c r="H82" s="5" t="n">
        <f aca="false">G82-G81</f>
        <v>2</v>
      </c>
      <c r="I82" s="6" t="s">
        <v>57</v>
      </c>
      <c r="J82" s="2" t="s">
        <v>19</v>
      </c>
      <c r="K82" s="2"/>
      <c r="L82" s="2"/>
    </row>
    <row r="83" customFormat="false" ht="15" hidden="false" customHeight="false" outlineLevel="0" collapsed="false">
      <c r="A83" s="2" t="n">
        <v>82</v>
      </c>
      <c r="B83" s="2" t="n">
        <f aca="false">INT((A83-1)/3)+1</f>
        <v>28</v>
      </c>
      <c r="C83" s="3" t="n">
        <v>28</v>
      </c>
      <c r="D83" s="2" t="s">
        <v>60</v>
      </c>
      <c r="E83" s="2" t="s">
        <v>13</v>
      </c>
      <c r="F83" s="2" t="str">
        <f aca="false">TEXT(G83,"ddd")</f>
        <v>Fri</v>
      </c>
      <c r="G83" s="4" t="n">
        <f aca="false">Settings!$B$4+(B83-1)*Settings!$B$11+INDEX(Settings!$B$7:$B$9,MATCH(E83,Settings!$A$7:$A$9,0))</f>
        <v>46507</v>
      </c>
      <c r="H83" s="5" t="n">
        <f aca="false">G83-G82</f>
        <v>2</v>
      </c>
      <c r="I83" s="6" t="s">
        <v>61</v>
      </c>
      <c r="J83" s="2" t="s">
        <v>19</v>
      </c>
      <c r="K83" s="2"/>
      <c r="L83" s="2"/>
    </row>
    <row r="84" customFormat="false" ht="15" hidden="false" customHeight="false" outlineLevel="0" collapsed="false">
      <c r="A84" s="2" t="n">
        <v>83</v>
      </c>
      <c r="B84" s="2" t="n">
        <f aca="false">INT((A84-1)/3)+1</f>
        <v>28</v>
      </c>
      <c r="C84" s="3" t="n">
        <v>28</v>
      </c>
      <c r="D84" s="2" t="s">
        <v>60</v>
      </c>
      <c r="E84" s="2" t="s">
        <v>18</v>
      </c>
      <c r="F84" s="2" t="str">
        <f aca="false">TEXT(G84,"ddd")</f>
        <v>Mon</v>
      </c>
      <c r="G84" s="4" t="n">
        <f aca="false">Settings!$B$4+(B84-1)*Settings!$B$11+INDEX(Settings!$B$7:$B$9,MATCH(E84,Settings!$A$7:$A$9,0))</f>
        <v>46510</v>
      </c>
      <c r="H84" s="5" t="n">
        <f aca="false">G84-G83</f>
        <v>3</v>
      </c>
      <c r="I84" s="6" t="s">
        <v>61</v>
      </c>
      <c r="J84" s="2" t="s">
        <v>19</v>
      </c>
      <c r="K84" s="2"/>
      <c r="L84" s="2"/>
    </row>
    <row r="85" customFormat="false" ht="15" hidden="false" customHeight="false" outlineLevel="0" collapsed="false">
      <c r="A85" s="2" t="n">
        <v>84</v>
      </c>
      <c r="B85" s="2" t="n">
        <f aca="false">INT((A85-1)/3)+1</f>
        <v>28</v>
      </c>
      <c r="C85" s="3" t="n">
        <v>28</v>
      </c>
      <c r="D85" s="2" t="s">
        <v>60</v>
      </c>
      <c r="E85" s="2" t="s">
        <v>20</v>
      </c>
      <c r="F85" s="2" t="str">
        <f aca="false">TEXT(G85,"ddd")</f>
        <v>Wed</v>
      </c>
      <c r="G85" s="4" t="n">
        <f aca="false">Settings!$B$4+(B85-1)*Settings!$B$11+INDEX(Settings!$B$7:$B$9,MATCH(E85,Settings!$A$7:$A$9,0))</f>
        <v>46512</v>
      </c>
      <c r="H85" s="5" t="n">
        <f aca="false">G85-G84</f>
        <v>2</v>
      </c>
      <c r="I85" s="6" t="s">
        <v>61</v>
      </c>
      <c r="J85" s="2" t="s">
        <v>19</v>
      </c>
      <c r="K85" s="2"/>
      <c r="L85" s="2"/>
    </row>
    <row r="86" customFormat="false" ht="15" hidden="false" customHeight="false" outlineLevel="0" collapsed="false">
      <c r="A86" s="2" t="n">
        <v>85</v>
      </c>
      <c r="B86" s="2" t="n">
        <f aca="false">INT((A86-1)/3)+1</f>
        <v>29</v>
      </c>
      <c r="C86" s="3" t="n">
        <v>29</v>
      </c>
      <c r="D86" s="2" t="s">
        <v>62</v>
      </c>
      <c r="E86" s="2" t="s">
        <v>13</v>
      </c>
      <c r="F86" s="2" t="str">
        <f aca="false">TEXT(G86,"ddd")</f>
        <v>Fri</v>
      </c>
      <c r="G86" s="4" t="n">
        <f aca="false">Settings!$B$4+(B86-1)*Settings!$B$11+INDEX(Settings!$B$7:$B$9,MATCH(E86,Settings!$A$7:$A$9,0))</f>
        <v>46514</v>
      </c>
      <c r="H86" s="5" t="n">
        <f aca="false">G86-G85</f>
        <v>2</v>
      </c>
      <c r="I86" s="6" t="s">
        <v>61</v>
      </c>
      <c r="J86" s="2" t="s">
        <v>19</v>
      </c>
      <c r="K86" s="2"/>
      <c r="L86" s="2"/>
    </row>
    <row r="87" customFormat="false" ht="15" hidden="false" customHeight="false" outlineLevel="0" collapsed="false">
      <c r="A87" s="2" t="n">
        <v>86</v>
      </c>
      <c r="B87" s="2" t="n">
        <f aca="false">INT((A87-1)/3)+1</f>
        <v>29</v>
      </c>
      <c r="C87" s="3" t="n">
        <v>29</v>
      </c>
      <c r="D87" s="2" t="s">
        <v>62</v>
      </c>
      <c r="E87" s="2" t="s">
        <v>18</v>
      </c>
      <c r="F87" s="2" t="str">
        <f aca="false">TEXT(G87,"ddd")</f>
        <v>Mon</v>
      </c>
      <c r="G87" s="4" t="n">
        <f aca="false">Settings!$B$4+(B87-1)*Settings!$B$11+INDEX(Settings!$B$7:$B$9,MATCH(E87,Settings!$A$7:$A$9,0))</f>
        <v>46517</v>
      </c>
      <c r="H87" s="5" t="n">
        <f aca="false">G87-G86</f>
        <v>3</v>
      </c>
      <c r="I87" s="6" t="s">
        <v>61</v>
      </c>
      <c r="J87" s="2" t="s">
        <v>19</v>
      </c>
      <c r="K87" s="2"/>
      <c r="L87" s="2"/>
    </row>
    <row r="88" customFormat="false" ht="15" hidden="false" customHeight="false" outlineLevel="0" collapsed="false">
      <c r="A88" s="2" t="n">
        <v>87</v>
      </c>
      <c r="B88" s="2" t="n">
        <f aca="false">INT((A88-1)/3)+1</f>
        <v>29</v>
      </c>
      <c r="C88" s="3" t="n">
        <v>29</v>
      </c>
      <c r="D88" s="2" t="s">
        <v>62</v>
      </c>
      <c r="E88" s="2" t="s">
        <v>20</v>
      </c>
      <c r="F88" s="2" t="str">
        <f aca="false">TEXT(G88,"ddd")</f>
        <v>Wed</v>
      </c>
      <c r="G88" s="4" t="n">
        <f aca="false">Settings!$B$4+(B88-1)*Settings!$B$11+INDEX(Settings!$B$7:$B$9,MATCH(E88,Settings!$A$7:$A$9,0))</f>
        <v>46519</v>
      </c>
      <c r="H88" s="5" t="n">
        <f aca="false">G88-G87</f>
        <v>2</v>
      </c>
      <c r="I88" s="6" t="s">
        <v>61</v>
      </c>
      <c r="J88" s="2" t="s">
        <v>19</v>
      </c>
      <c r="K88" s="2"/>
      <c r="L88" s="2"/>
    </row>
    <row r="89" customFormat="false" ht="15" hidden="false" customHeight="false" outlineLevel="0" collapsed="false">
      <c r="A89" s="2" t="n">
        <v>88</v>
      </c>
      <c r="B89" s="2" t="n">
        <f aca="false">INT((A89-1)/3)+1</f>
        <v>30</v>
      </c>
      <c r="C89" s="3" t="n">
        <v>30</v>
      </c>
      <c r="D89" s="2" t="s">
        <v>63</v>
      </c>
      <c r="E89" s="2" t="s">
        <v>13</v>
      </c>
      <c r="F89" s="2" t="str">
        <f aca="false">TEXT(G89,"ddd")</f>
        <v>Fri</v>
      </c>
      <c r="G89" s="4" t="n">
        <f aca="false">Settings!$B$4+(B89-1)*Settings!$B$11+INDEX(Settings!$B$7:$B$9,MATCH(E89,Settings!$A$7:$A$9,0))</f>
        <v>46521</v>
      </c>
      <c r="H89" s="5" t="n">
        <f aca="false">G89-G88</f>
        <v>2</v>
      </c>
      <c r="I89" s="6" t="s">
        <v>61</v>
      </c>
      <c r="J89" s="2" t="s">
        <v>19</v>
      </c>
      <c r="K89" s="2"/>
      <c r="L89" s="2"/>
    </row>
    <row r="90" customFormat="false" ht="15" hidden="false" customHeight="false" outlineLevel="0" collapsed="false">
      <c r="A90" s="2" t="n">
        <v>89</v>
      </c>
      <c r="B90" s="2" t="n">
        <f aca="false">INT((A90-1)/3)+1</f>
        <v>30</v>
      </c>
      <c r="C90" s="3" t="n">
        <v>30</v>
      </c>
      <c r="D90" s="2" t="s">
        <v>63</v>
      </c>
      <c r="E90" s="2" t="s">
        <v>18</v>
      </c>
      <c r="F90" s="2" t="str">
        <f aca="false">TEXT(G90,"ddd")</f>
        <v>Mon</v>
      </c>
      <c r="G90" s="4" t="n">
        <f aca="false">Settings!$B$4+(B90-1)*Settings!$B$11+INDEX(Settings!$B$7:$B$9,MATCH(E90,Settings!$A$7:$A$9,0))</f>
        <v>46524</v>
      </c>
      <c r="H90" s="5" t="n">
        <f aca="false">G90-G89</f>
        <v>3</v>
      </c>
      <c r="I90" s="6" t="s">
        <v>61</v>
      </c>
      <c r="J90" s="2" t="s">
        <v>19</v>
      </c>
      <c r="K90" s="2"/>
      <c r="L90" s="2"/>
    </row>
    <row r="91" customFormat="false" ht="15" hidden="false" customHeight="false" outlineLevel="0" collapsed="false">
      <c r="A91" s="2" t="n">
        <v>90</v>
      </c>
      <c r="B91" s="2" t="n">
        <f aca="false">INT((A91-1)/3)+1</f>
        <v>30</v>
      </c>
      <c r="C91" s="3" t="n">
        <v>30</v>
      </c>
      <c r="D91" s="2" t="s">
        <v>63</v>
      </c>
      <c r="E91" s="2" t="s">
        <v>20</v>
      </c>
      <c r="F91" s="2" t="str">
        <f aca="false">TEXT(G91,"ddd")</f>
        <v>Wed</v>
      </c>
      <c r="G91" s="4" t="n">
        <f aca="false">Settings!$B$4+(B91-1)*Settings!$B$11+INDEX(Settings!$B$7:$B$9,MATCH(E91,Settings!$A$7:$A$9,0))</f>
        <v>46526</v>
      </c>
      <c r="H91" s="5" t="n">
        <f aca="false">G91-G90</f>
        <v>2</v>
      </c>
      <c r="I91" s="6" t="s">
        <v>61</v>
      </c>
      <c r="J91" s="2" t="s">
        <v>19</v>
      </c>
      <c r="K91" s="2"/>
      <c r="L91" s="2"/>
    </row>
    <row r="92" customFormat="false" ht="15" hidden="false" customHeight="false" outlineLevel="0" collapsed="false">
      <c r="A92" s="2" t="n">
        <v>91</v>
      </c>
      <c r="B92" s="2" t="n">
        <f aca="false">INT((A92-1)/3)+1</f>
        <v>31</v>
      </c>
      <c r="C92" s="3" t="n">
        <v>31</v>
      </c>
      <c r="D92" s="2" t="s">
        <v>64</v>
      </c>
      <c r="E92" s="2" t="s">
        <v>13</v>
      </c>
      <c r="F92" s="2" t="str">
        <f aca="false">TEXT(G92,"ddd")</f>
        <v>Fri</v>
      </c>
      <c r="G92" s="4" t="n">
        <f aca="false">Settings!$B$4+(B92-1)*Settings!$B$11+INDEX(Settings!$B$7:$B$9,MATCH(E92,Settings!$A$7:$A$9,0))</f>
        <v>46528</v>
      </c>
      <c r="H92" s="5" t="n">
        <f aca="false">G92-G91</f>
        <v>2</v>
      </c>
      <c r="I92" s="6" t="s">
        <v>65</v>
      </c>
      <c r="J92" s="2" t="s">
        <v>19</v>
      </c>
      <c r="K92" s="2"/>
      <c r="L92" s="2"/>
    </row>
    <row r="93" customFormat="false" ht="15" hidden="false" customHeight="false" outlineLevel="0" collapsed="false">
      <c r="A93" s="2" t="n">
        <v>92</v>
      </c>
      <c r="B93" s="2" t="n">
        <f aca="false">INT((A93-1)/3)+1</f>
        <v>31</v>
      </c>
      <c r="C93" s="3" t="n">
        <v>31</v>
      </c>
      <c r="D93" s="2" t="s">
        <v>64</v>
      </c>
      <c r="E93" s="2" t="s">
        <v>18</v>
      </c>
      <c r="F93" s="2" t="str">
        <f aca="false">TEXT(G93,"ddd")</f>
        <v>Mon</v>
      </c>
      <c r="G93" s="4" t="n">
        <f aca="false">Settings!$B$4+(B93-1)*Settings!$B$11+INDEX(Settings!$B$7:$B$9,MATCH(E93,Settings!$A$7:$A$9,0))</f>
        <v>46531</v>
      </c>
      <c r="H93" s="5" t="n">
        <f aca="false">G93-G92</f>
        <v>3</v>
      </c>
      <c r="I93" s="6" t="s">
        <v>65</v>
      </c>
      <c r="J93" s="2" t="s">
        <v>19</v>
      </c>
      <c r="K93" s="2"/>
      <c r="L93" s="2"/>
    </row>
    <row r="94" customFormat="false" ht="15" hidden="false" customHeight="false" outlineLevel="0" collapsed="false">
      <c r="A94" s="2" t="n">
        <v>93</v>
      </c>
      <c r="B94" s="2" t="n">
        <f aca="false">INT((A94-1)/3)+1</f>
        <v>31</v>
      </c>
      <c r="C94" s="3" t="n">
        <v>31</v>
      </c>
      <c r="D94" s="2" t="s">
        <v>64</v>
      </c>
      <c r="E94" s="2" t="s">
        <v>20</v>
      </c>
      <c r="F94" s="2" t="str">
        <f aca="false">TEXT(G94,"ddd")</f>
        <v>Wed</v>
      </c>
      <c r="G94" s="4" t="n">
        <f aca="false">Settings!$B$4+(B94-1)*Settings!$B$11+INDEX(Settings!$B$7:$B$9,MATCH(E94,Settings!$A$7:$A$9,0))</f>
        <v>46533</v>
      </c>
      <c r="H94" s="5" t="n">
        <f aca="false">G94-G93</f>
        <v>2</v>
      </c>
      <c r="I94" s="6" t="s">
        <v>65</v>
      </c>
      <c r="J94" s="2" t="s">
        <v>19</v>
      </c>
      <c r="K94" s="2"/>
      <c r="L94" s="2"/>
    </row>
    <row r="95" customFormat="false" ht="15" hidden="false" customHeight="false" outlineLevel="0" collapsed="false">
      <c r="A95" s="2" t="n">
        <v>94</v>
      </c>
      <c r="B95" s="2" t="n">
        <f aca="false">INT((A95-1)/3)+1</f>
        <v>32</v>
      </c>
      <c r="C95" s="3" t="n">
        <v>32</v>
      </c>
      <c r="D95" s="2" t="s">
        <v>66</v>
      </c>
      <c r="E95" s="2" t="s">
        <v>13</v>
      </c>
      <c r="F95" s="2" t="str">
        <f aca="false">TEXT(G95,"ddd")</f>
        <v>Fri</v>
      </c>
      <c r="G95" s="4" t="n">
        <f aca="false">Settings!$B$4+(B95-1)*Settings!$B$11+INDEX(Settings!$B$7:$B$9,MATCH(E95,Settings!$A$7:$A$9,0))</f>
        <v>46535</v>
      </c>
      <c r="H95" s="5" t="n">
        <f aca="false">G95-G94</f>
        <v>2</v>
      </c>
      <c r="I95" s="6" t="s">
        <v>65</v>
      </c>
      <c r="J95" s="2" t="s">
        <v>19</v>
      </c>
      <c r="K95" s="2"/>
      <c r="L95" s="2"/>
    </row>
    <row r="96" customFormat="false" ht="15" hidden="false" customHeight="false" outlineLevel="0" collapsed="false">
      <c r="A96" s="2" t="n">
        <v>95</v>
      </c>
      <c r="B96" s="2" t="n">
        <f aca="false">INT((A96-1)/3)+1</f>
        <v>32</v>
      </c>
      <c r="C96" s="3" t="n">
        <v>32</v>
      </c>
      <c r="D96" s="2" t="s">
        <v>66</v>
      </c>
      <c r="E96" s="2" t="s">
        <v>18</v>
      </c>
      <c r="F96" s="2" t="str">
        <f aca="false">TEXT(G96,"ddd")</f>
        <v>Mon</v>
      </c>
      <c r="G96" s="4" t="n">
        <f aca="false">Settings!$B$4+(B96-1)*Settings!$B$11+INDEX(Settings!$B$7:$B$9,MATCH(E96,Settings!$A$7:$A$9,0))</f>
        <v>46538</v>
      </c>
      <c r="H96" s="5" t="n">
        <f aca="false">G96-G95</f>
        <v>3</v>
      </c>
      <c r="I96" s="6" t="s">
        <v>65</v>
      </c>
      <c r="J96" s="2" t="s">
        <v>19</v>
      </c>
      <c r="K96" s="2"/>
      <c r="L96" s="2"/>
    </row>
    <row r="97" customFormat="false" ht="15" hidden="false" customHeight="false" outlineLevel="0" collapsed="false">
      <c r="A97" s="2" t="n">
        <v>96</v>
      </c>
      <c r="B97" s="2" t="n">
        <f aca="false">INT((A97-1)/3)+1</f>
        <v>32</v>
      </c>
      <c r="C97" s="3" t="n">
        <v>32</v>
      </c>
      <c r="D97" s="2" t="s">
        <v>66</v>
      </c>
      <c r="E97" s="2" t="s">
        <v>20</v>
      </c>
      <c r="F97" s="2" t="str">
        <f aca="false">TEXT(G97,"ddd")</f>
        <v>Wed</v>
      </c>
      <c r="G97" s="4" t="n">
        <f aca="false">Settings!$B$4+(B97-1)*Settings!$B$11+INDEX(Settings!$B$7:$B$9,MATCH(E97,Settings!$A$7:$A$9,0))</f>
        <v>46540</v>
      </c>
      <c r="H97" s="5" t="n">
        <f aca="false">G97-G96</f>
        <v>2</v>
      </c>
      <c r="I97" s="6" t="s">
        <v>65</v>
      </c>
      <c r="J97" s="2" t="s">
        <v>19</v>
      </c>
      <c r="K97" s="2"/>
      <c r="L97" s="2"/>
    </row>
    <row r="98" customFormat="false" ht="15" hidden="false" customHeight="false" outlineLevel="0" collapsed="false">
      <c r="A98" s="2" t="n">
        <v>97</v>
      </c>
      <c r="B98" s="2" t="n">
        <f aca="false">INT((A98-1)/3)+1</f>
        <v>33</v>
      </c>
      <c r="C98" s="3" t="n">
        <v>33</v>
      </c>
      <c r="D98" s="2" t="s">
        <v>67</v>
      </c>
      <c r="E98" s="2" t="s">
        <v>13</v>
      </c>
      <c r="F98" s="2" t="str">
        <f aca="false">TEXT(G98,"ddd")</f>
        <v>Fri</v>
      </c>
      <c r="G98" s="4" t="n">
        <f aca="false">Settings!$B$4+(B98-1)*Settings!$B$11+INDEX(Settings!$B$7:$B$9,MATCH(E98,Settings!$A$7:$A$9,0))</f>
        <v>46542</v>
      </c>
      <c r="H98" s="5" t="n">
        <f aca="false">G98-G97</f>
        <v>2</v>
      </c>
      <c r="I98" s="6" t="s">
        <v>65</v>
      </c>
      <c r="J98" s="2" t="s">
        <v>19</v>
      </c>
      <c r="K98" s="2"/>
      <c r="L98" s="2"/>
    </row>
    <row r="99" customFormat="false" ht="15" hidden="false" customHeight="false" outlineLevel="0" collapsed="false">
      <c r="A99" s="2" t="n">
        <v>98</v>
      </c>
      <c r="B99" s="2" t="n">
        <f aca="false">INT((A99-1)/3)+1</f>
        <v>33</v>
      </c>
      <c r="C99" s="3" t="n">
        <v>33</v>
      </c>
      <c r="D99" s="2" t="s">
        <v>67</v>
      </c>
      <c r="E99" s="2" t="s">
        <v>18</v>
      </c>
      <c r="F99" s="2" t="str">
        <f aca="false">TEXT(G99,"ddd")</f>
        <v>Mon</v>
      </c>
      <c r="G99" s="4" t="n">
        <f aca="false">Settings!$B$4+(B99-1)*Settings!$B$11+INDEX(Settings!$B$7:$B$9,MATCH(E99,Settings!$A$7:$A$9,0))</f>
        <v>46545</v>
      </c>
      <c r="H99" s="5" t="n">
        <f aca="false">G99-G98</f>
        <v>3</v>
      </c>
      <c r="I99" s="6" t="s">
        <v>65</v>
      </c>
      <c r="J99" s="2" t="s">
        <v>19</v>
      </c>
      <c r="K99" s="2"/>
      <c r="L99" s="2"/>
    </row>
    <row r="100" customFormat="false" ht="15" hidden="false" customHeight="false" outlineLevel="0" collapsed="false">
      <c r="A100" s="2" t="n">
        <v>99</v>
      </c>
      <c r="B100" s="2" t="n">
        <f aca="false">INT((A100-1)/3)+1</f>
        <v>33</v>
      </c>
      <c r="C100" s="3" t="n">
        <v>33</v>
      </c>
      <c r="D100" s="2" t="s">
        <v>67</v>
      </c>
      <c r="E100" s="2" t="s">
        <v>20</v>
      </c>
      <c r="F100" s="2" t="str">
        <f aca="false">TEXT(G100,"ddd")</f>
        <v>Wed</v>
      </c>
      <c r="G100" s="4" t="n">
        <f aca="false">Settings!$B$4+(B100-1)*Settings!$B$11+INDEX(Settings!$B$7:$B$9,MATCH(E100,Settings!$A$7:$A$9,0))</f>
        <v>46547</v>
      </c>
      <c r="H100" s="5" t="n">
        <f aca="false">G100-G99</f>
        <v>2</v>
      </c>
      <c r="I100" s="6" t="s">
        <v>65</v>
      </c>
      <c r="J100" s="2" t="s">
        <v>19</v>
      </c>
      <c r="K100" s="2"/>
      <c r="L100" s="2"/>
    </row>
    <row r="101" customFormat="false" ht="15" hidden="false" customHeight="false" outlineLevel="0" collapsed="false">
      <c r="A101" s="2" t="n">
        <v>100</v>
      </c>
      <c r="B101" s="2" t="n">
        <f aca="false">INT((A101-1)/3)+1</f>
        <v>34</v>
      </c>
      <c r="C101" s="3" t="n">
        <v>34</v>
      </c>
      <c r="D101" s="2" t="s">
        <v>68</v>
      </c>
      <c r="E101" s="2" t="s">
        <v>13</v>
      </c>
      <c r="F101" s="2" t="str">
        <f aca="false">TEXT(G101,"ddd")</f>
        <v>Fri</v>
      </c>
      <c r="G101" s="4" t="n">
        <f aca="false">Settings!$B$4+(B101-1)*Settings!$B$11+INDEX(Settings!$B$7:$B$9,MATCH(E101,Settings!$A$7:$A$9,0))</f>
        <v>46549</v>
      </c>
      <c r="H101" s="5" t="n">
        <f aca="false">G101-G100</f>
        <v>2</v>
      </c>
      <c r="I101" s="6" t="s">
        <v>69</v>
      </c>
      <c r="J101" s="2" t="s">
        <v>19</v>
      </c>
      <c r="K101" s="2"/>
      <c r="L101" s="2"/>
    </row>
    <row r="102" customFormat="false" ht="15" hidden="false" customHeight="false" outlineLevel="0" collapsed="false">
      <c r="A102" s="2" t="n">
        <v>101</v>
      </c>
      <c r="B102" s="2" t="n">
        <f aca="false">INT((A102-1)/3)+1</f>
        <v>34</v>
      </c>
      <c r="C102" s="3" t="n">
        <v>34</v>
      </c>
      <c r="D102" s="2" t="s">
        <v>68</v>
      </c>
      <c r="E102" s="2" t="s">
        <v>18</v>
      </c>
      <c r="F102" s="2" t="str">
        <f aca="false">TEXT(G102,"ddd")</f>
        <v>Mon</v>
      </c>
      <c r="G102" s="4" t="n">
        <f aca="false">Settings!$B$4+(B102-1)*Settings!$B$11+INDEX(Settings!$B$7:$B$9,MATCH(E102,Settings!$A$7:$A$9,0))</f>
        <v>46552</v>
      </c>
      <c r="H102" s="5" t="n">
        <f aca="false">G102-G101</f>
        <v>3</v>
      </c>
      <c r="I102" s="6" t="s">
        <v>69</v>
      </c>
      <c r="J102" s="2" t="s">
        <v>19</v>
      </c>
      <c r="K102" s="2"/>
      <c r="L102" s="2"/>
    </row>
    <row r="103" customFormat="false" ht="15" hidden="false" customHeight="false" outlineLevel="0" collapsed="false">
      <c r="A103" s="2" t="n">
        <v>102</v>
      </c>
      <c r="B103" s="2" t="n">
        <f aca="false">INT((A103-1)/3)+1</f>
        <v>34</v>
      </c>
      <c r="C103" s="3" t="n">
        <v>34</v>
      </c>
      <c r="D103" s="2" t="s">
        <v>68</v>
      </c>
      <c r="E103" s="2" t="s">
        <v>20</v>
      </c>
      <c r="F103" s="2" t="str">
        <f aca="false">TEXT(G103,"ddd")</f>
        <v>Wed</v>
      </c>
      <c r="G103" s="4" t="n">
        <f aca="false">Settings!$B$4+(B103-1)*Settings!$B$11+INDEX(Settings!$B$7:$B$9,MATCH(E103,Settings!$A$7:$A$9,0))</f>
        <v>46554</v>
      </c>
      <c r="H103" s="5" t="n">
        <f aca="false">G103-G102</f>
        <v>2</v>
      </c>
      <c r="I103" s="6" t="s">
        <v>69</v>
      </c>
      <c r="J103" s="2" t="s">
        <v>19</v>
      </c>
      <c r="K103" s="2"/>
      <c r="L103" s="2"/>
    </row>
    <row r="104" customFormat="false" ht="15" hidden="false" customHeight="false" outlineLevel="0" collapsed="false">
      <c r="A104" s="2" t="n">
        <v>103</v>
      </c>
      <c r="B104" s="2" t="n">
        <f aca="false">INT((A104-1)/3)+1</f>
        <v>35</v>
      </c>
      <c r="C104" s="3" t="n">
        <v>35</v>
      </c>
      <c r="D104" s="2" t="s">
        <v>70</v>
      </c>
      <c r="E104" s="2" t="s">
        <v>13</v>
      </c>
      <c r="F104" s="2" t="str">
        <f aca="false">TEXT(G104,"ddd")</f>
        <v>Fri</v>
      </c>
      <c r="G104" s="4" t="n">
        <f aca="false">Settings!$B$4+(B104-1)*Settings!$B$11+INDEX(Settings!$B$7:$B$9,MATCH(E104,Settings!$A$7:$A$9,0))</f>
        <v>46556</v>
      </c>
      <c r="H104" s="5" t="n">
        <f aca="false">G104-G103</f>
        <v>2</v>
      </c>
      <c r="I104" s="6" t="s">
        <v>69</v>
      </c>
      <c r="J104" s="2" t="s">
        <v>19</v>
      </c>
      <c r="K104" s="2"/>
      <c r="L104" s="2"/>
    </row>
    <row r="105" customFormat="false" ht="15" hidden="false" customHeight="false" outlineLevel="0" collapsed="false">
      <c r="A105" s="2" t="n">
        <v>104</v>
      </c>
      <c r="B105" s="2" t="n">
        <f aca="false">INT((A105-1)/3)+1</f>
        <v>35</v>
      </c>
      <c r="C105" s="3" t="n">
        <v>35</v>
      </c>
      <c r="D105" s="2" t="s">
        <v>70</v>
      </c>
      <c r="E105" s="2" t="s">
        <v>18</v>
      </c>
      <c r="F105" s="2" t="str">
        <f aca="false">TEXT(G105,"ddd")</f>
        <v>Mon</v>
      </c>
      <c r="G105" s="4" t="n">
        <f aca="false">Settings!$B$4+(B105-1)*Settings!$B$11+INDEX(Settings!$B$7:$B$9,MATCH(E105,Settings!$A$7:$A$9,0))</f>
        <v>46559</v>
      </c>
      <c r="H105" s="5" t="n">
        <f aca="false">G105-G104</f>
        <v>3</v>
      </c>
      <c r="I105" s="6" t="s">
        <v>69</v>
      </c>
      <c r="J105" s="2" t="s">
        <v>19</v>
      </c>
      <c r="K105" s="2"/>
      <c r="L105" s="2"/>
    </row>
    <row r="106" customFormat="false" ht="15" hidden="false" customHeight="false" outlineLevel="0" collapsed="false">
      <c r="A106" s="2" t="n">
        <v>105</v>
      </c>
      <c r="B106" s="2" t="n">
        <f aca="false">INT((A106-1)/3)+1</f>
        <v>35</v>
      </c>
      <c r="C106" s="3" t="n">
        <v>35</v>
      </c>
      <c r="D106" s="2" t="s">
        <v>70</v>
      </c>
      <c r="E106" s="2" t="s">
        <v>20</v>
      </c>
      <c r="F106" s="2" t="str">
        <f aca="false">TEXT(G106,"ddd")</f>
        <v>Wed</v>
      </c>
      <c r="G106" s="4" t="n">
        <f aca="false">Settings!$B$4+(B106-1)*Settings!$B$11+INDEX(Settings!$B$7:$B$9,MATCH(E106,Settings!$A$7:$A$9,0))</f>
        <v>46561</v>
      </c>
      <c r="H106" s="5" t="n">
        <f aca="false">G106-G105</f>
        <v>2</v>
      </c>
      <c r="I106" s="6" t="s">
        <v>69</v>
      </c>
      <c r="J106" s="2" t="s">
        <v>19</v>
      </c>
      <c r="K106" s="2"/>
      <c r="L106" s="2"/>
    </row>
    <row r="107" customFormat="false" ht="15" hidden="false" customHeight="false" outlineLevel="0" collapsed="false">
      <c r="A107" s="2" t="n">
        <v>106</v>
      </c>
      <c r="B107" s="2" t="n">
        <f aca="false">INT((A107-1)/3)+1</f>
        <v>36</v>
      </c>
      <c r="C107" s="3" t="n">
        <v>36</v>
      </c>
      <c r="D107" s="2" t="s">
        <v>71</v>
      </c>
      <c r="E107" s="2" t="s">
        <v>13</v>
      </c>
      <c r="F107" s="2" t="str">
        <f aca="false">TEXT(G107,"ddd")</f>
        <v>Fri</v>
      </c>
      <c r="G107" s="4" t="n">
        <f aca="false">Settings!$B$4+(B107-1)*Settings!$B$11+INDEX(Settings!$B$7:$B$9,MATCH(E107,Settings!$A$7:$A$9,0))</f>
        <v>46563</v>
      </c>
      <c r="H107" s="5" t="n">
        <f aca="false">G107-G106</f>
        <v>2</v>
      </c>
      <c r="I107" s="6" t="s">
        <v>69</v>
      </c>
      <c r="J107" s="2" t="s">
        <v>19</v>
      </c>
      <c r="K107" s="2"/>
      <c r="L107" s="2"/>
    </row>
    <row r="108" customFormat="false" ht="15" hidden="false" customHeight="false" outlineLevel="0" collapsed="false">
      <c r="A108" s="2" t="n">
        <v>107</v>
      </c>
      <c r="B108" s="2" t="n">
        <f aca="false">INT((A108-1)/3)+1</f>
        <v>36</v>
      </c>
      <c r="C108" s="3" t="n">
        <v>36</v>
      </c>
      <c r="D108" s="2" t="s">
        <v>71</v>
      </c>
      <c r="E108" s="2" t="s">
        <v>18</v>
      </c>
      <c r="F108" s="2" t="str">
        <f aca="false">TEXT(G108,"ddd")</f>
        <v>Mon</v>
      </c>
      <c r="G108" s="4" t="n">
        <f aca="false">Settings!$B$4+(B108-1)*Settings!$B$11+INDEX(Settings!$B$7:$B$9,MATCH(E108,Settings!$A$7:$A$9,0))</f>
        <v>46566</v>
      </c>
      <c r="H108" s="5" t="n">
        <f aca="false">G108-G107</f>
        <v>3</v>
      </c>
      <c r="I108" s="6" t="s">
        <v>69</v>
      </c>
      <c r="J108" s="2" t="s">
        <v>19</v>
      </c>
      <c r="K108" s="2"/>
      <c r="L108" s="2"/>
    </row>
    <row r="109" customFormat="false" ht="15" hidden="false" customHeight="false" outlineLevel="0" collapsed="false">
      <c r="A109" s="2" t="n">
        <v>108</v>
      </c>
      <c r="B109" s="2" t="n">
        <f aca="false">INT((A109-1)/3)+1</f>
        <v>36</v>
      </c>
      <c r="C109" s="3" t="n">
        <v>36</v>
      </c>
      <c r="D109" s="2" t="s">
        <v>71</v>
      </c>
      <c r="E109" s="2" t="s">
        <v>20</v>
      </c>
      <c r="F109" s="2" t="str">
        <f aca="false">TEXT(G109,"ddd")</f>
        <v>Wed</v>
      </c>
      <c r="G109" s="4" t="n">
        <f aca="false">Settings!$B$4+(B109-1)*Settings!$B$11+INDEX(Settings!$B$7:$B$9,MATCH(E109,Settings!$A$7:$A$9,0))</f>
        <v>46568</v>
      </c>
      <c r="H109" s="5" t="n">
        <f aca="false">G109-G108</f>
        <v>2</v>
      </c>
      <c r="I109" s="6" t="s">
        <v>69</v>
      </c>
      <c r="J109" s="2" t="s">
        <v>19</v>
      </c>
      <c r="K109" s="2"/>
      <c r="L109" s="2"/>
    </row>
    <row r="110" customFormat="false" ht="15" hidden="false" customHeight="false" outlineLevel="0" collapsed="false">
      <c r="A110" s="2" t="n">
        <v>109</v>
      </c>
      <c r="B110" s="2" t="n">
        <f aca="false">INT((A110-1)/3)+1</f>
        <v>37</v>
      </c>
      <c r="C110" s="3" t="n">
        <v>37</v>
      </c>
      <c r="D110" s="2" t="s">
        <v>72</v>
      </c>
      <c r="E110" s="2" t="s">
        <v>13</v>
      </c>
      <c r="F110" s="2" t="str">
        <f aca="false">TEXT(G110,"ddd")</f>
        <v>Fri</v>
      </c>
      <c r="G110" s="4" t="n">
        <f aca="false">Settings!$B$4+(B110-1)*Settings!$B$11+INDEX(Settings!$B$7:$B$9,MATCH(E110,Settings!$A$7:$A$9,0))</f>
        <v>46570</v>
      </c>
      <c r="H110" s="5" t="n">
        <f aca="false">G110-G109</f>
        <v>2</v>
      </c>
      <c r="I110" s="6" t="s">
        <v>69</v>
      </c>
      <c r="J110" s="2" t="s">
        <v>19</v>
      </c>
      <c r="K110" s="2"/>
      <c r="L110" s="2"/>
    </row>
    <row r="111" customFormat="false" ht="15" hidden="false" customHeight="false" outlineLevel="0" collapsed="false">
      <c r="A111" s="2" t="n">
        <v>110</v>
      </c>
      <c r="B111" s="2" t="n">
        <f aca="false">INT((A111-1)/3)+1</f>
        <v>37</v>
      </c>
      <c r="C111" s="3" t="n">
        <v>37</v>
      </c>
      <c r="D111" s="2" t="s">
        <v>72</v>
      </c>
      <c r="E111" s="2" t="s">
        <v>18</v>
      </c>
      <c r="F111" s="2" t="str">
        <f aca="false">TEXT(G111,"ddd")</f>
        <v>Mon</v>
      </c>
      <c r="G111" s="4" t="n">
        <f aca="false">Settings!$B$4+(B111-1)*Settings!$B$11+INDEX(Settings!$B$7:$B$9,MATCH(E111,Settings!$A$7:$A$9,0))</f>
        <v>46573</v>
      </c>
      <c r="H111" s="5" t="n">
        <f aca="false">G111-G110</f>
        <v>3</v>
      </c>
      <c r="I111" s="6" t="s">
        <v>69</v>
      </c>
      <c r="J111" s="2" t="s">
        <v>19</v>
      </c>
      <c r="K111" s="2"/>
      <c r="L111" s="2"/>
    </row>
    <row r="112" customFormat="false" ht="15" hidden="false" customHeight="false" outlineLevel="0" collapsed="false">
      <c r="A112" s="2" t="n">
        <v>111</v>
      </c>
      <c r="B112" s="2" t="n">
        <f aca="false">INT((A112-1)/3)+1</f>
        <v>37</v>
      </c>
      <c r="C112" s="3" t="n">
        <v>37</v>
      </c>
      <c r="D112" s="2" t="s">
        <v>72</v>
      </c>
      <c r="E112" s="2" t="s">
        <v>20</v>
      </c>
      <c r="F112" s="2" t="str">
        <f aca="false">TEXT(G112,"ddd")</f>
        <v>Wed</v>
      </c>
      <c r="G112" s="4" t="n">
        <f aca="false">Settings!$B$4+(B112-1)*Settings!$B$11+INDEX(Settings!$B$7:$B$9,MATCH(E112,Settings!$A$7:$A$9,0))</f>
        <v>46575</v>
      </c>
      <c r="H112" s="5" t="n">
        <f aca="false">G112-G111</f>
        <v>2</v>
      </c>
      <c r="I112" s="6" t="s">
        <v>69</v>
      </c>
      <c r="J112" s="2" t="s">
        <v>19</v>
      </c>
      <c r="K112" s="2"/>
      <c r="L112" s="2"/>
    </row>
    <row r="113" customFormat="false" ht="15" hidden="false" customHeight="false" outlineLevel="0" collapsed="false">
      <c r="A113" s="2" t="n">
        <v>112</v>
      </c>
      <c r="B113" s="2" t="n">
        <f aca="false">INT((A113-1)/3)+1</f>
        <v>38</v>
      </c>
      <c r="C113" s="3" t="n">
        <v>38</v>
      </c>
      <c r="D113" s="2" t="s">
        <v>73</v>
      </c>
      <c r="E113" s="2" t="s">
        <v>13</v>
      </c>
      <c r="F113" s="2" t="str">
        <f aca="false">TEXT(G113,"ddd")</f>
        <v>Fri</v>
      </c>
      <c r="G113" s="4" t="n">
        <f aca="false">Settings!$B$4+(B113-1)*Settings!$B$11+INDEX(Settings!$B$7:$B$9,MATCH(E113,Settings!$A$7:$A$9,0))</f>
        <v>46577</v>
      </c>
      <c r="H113" s="5" t="n">
        <f aca="false">G113-G112</f>
        <v>2</v>
      </c>
      <c r="I113" s="6" t="s">
        <v>74</v>
      </c>
      <c r="J113" s="2" t="s">
        <v>19</v>
      </c>
      <c r="K113" s="2"/>
      <c r="L113" s="2"/>
    </row>
    <row r="114" customFormat="false" ht="15" hidden="false" customHeight="false" outlineLevel="0" collapsed="false">
      <c r="A114" s="2" t="n">
        <v>113</v>
      </c>
      <c r="B114" s="2" t="n">
        <f aca="false">INT((A114-1)/3)+1</f>
        <v>38</v>
      </c>
      <c r="C114" s="3" t="n">
        <v>38</v>
      </c>
      <c r="D114" s="2" t="s">
        <v>73</v>
      </c>
      <c r="E114" s="2" t="s">
        <v>18</v>
      </c>
      <c r="F114" s="2" t="str">
        <f aca="false">TEXT(G114,"ddd")</f>
        <v>Mon</v>
      </c>
      <c r="G114" s="4" t="n">
        <f aca="false">Settings!$B$4+(B114-1)*Settings!$B$11+INDEX(Settings!$B$7:$B$9,MATCH(E114,Settings!$A$7:$A$9,0))</f>
        <v>46580</v>
      </c>
      <c r="H114" s="5" t="n">
        <f aca="false">G114-G113</f>
        <v>3</v>
      </c>
      <c r="I114" s="6" t="s">
        <v>74</v>
      </c>
      <c r="J114" s="2" t="s">
        <v>19</v>
      </c>
      <c r="K114" s="2"/>
      <c r="L114" s="2"/>
    </row>
    <row r="115" customFormat="false" ht="15" hidden="false" customHeight="false" outlineLevel="0" collapsed="false">
      <c r="A115" s="2" t="n">
        <v>114</v>
      </c>
      <c r="B115" s="2" t="n">
        <f aca="false">INT((A115-1)/3)+1</f>
        <v>38</v>
      </c>
      <c r="C115" s="3" t="n">
        <v>38</v>
      </c>
      <c r="D115" s="2" t="s">
        <v>73</v>
      </c>
      <c r="E115" s="2" t="s">
        <v>20</v>
      </c>
      <c r="F115" s="2" t="str">
        <f aca="false">TEXT(G115,"ddd")</f>
        <v>Wed</v>
      </c>
      <c r="G115" s="4" t="n">
        <f aca="false">Settings!$B$4+(B115-1)*Settings!$B$11+INDEX(Settings!$B$7:$B$9,MATCH(E115,Settings!$A$7:$A$9,0))</f>
        <v>46582</v>
      </c>
      <c r="H115" s="5" t="n">
        <f aca="false">G115-G114</f>
        <v>2</v>
      </c>
      <c r="I115" s="6" t="s">
        <v>74</v>
      </c>
      <c r="J115" s="2" t="s">
        <v>19</v>
      </c>
      <c r="K115" s="2"/>
      <c r="L115" s="2"/>
    </row>
    <row r="116" customFormat="false" ht="15" hidden="false" customHeight="false" outlineLevel="0" collapsed="false">
      <c r="A116" s="2" t="n">
        <v>115</v>
      </c>
      <c r="B116" s="2" t="n">
        <f aca="false">INT((A116-1)/3)+1</f>
        <v>39</v>
      </c>
      <c r="C116" s="3" t="n">
        <v>39</v>
      </c>
      <c r="D116" s="2" t="s">
        <v>75</v>
      </c>
      <c r="E116" s="2" t="s">
        <v>13</v>
      </c>
      <c r="F116" s="2" t="str">
        <f aca="false">TEXT(G116,"ddd")</f>
        <v>Fri</v>
      </c>
      <c r="G116" s="4" t="n">
        <f aca="false">Settings!$B$4+(B116-1)*Settings!$B$11+INDEX(Settings!$B$7:$B$9,MATCH(E116,Settings!$A$7:$A$9,0))</f>
        <v>46584</v>
      </c>
      <c r="H116" s="5" t="n">
        <f aca="false">G116-G115</f>
        <v>2</v>
      </c>
      <c r="I116" s="6" t="s">
        <v>74</v>
      </c>
      <c r="J116" s="2" t="s">
        <v>19</v>
      </c>
      <c r="K116" s="2"/>
      <c r="L116" s="2"/>
    </row>
    <row r="117" customFormat="false" ht="15" hidden="false" customHeight="false" outlineLevel="0" collapsed="false">
      <c r="A117" s="2" t="n">
        <v>116</v>
      </c>
      <c r="B117" s="2" t="n">
        <f aca="false">INT((A117-1)/3)+1</f>
        <v>39</v>
      </c>
      <c r="C117" s="3" t="n">
        <v>39</v>
      </c>
      <c r="D117" s="2" t="s">
        <v>75</v>
      </c>
      <c r="E117" s="2" t="s">
        <v>18</v>
      </c>
      <c r="F117" s="2" t="str">
        <f aca="false">TEXT(G117,"ddd")</f>
        <v>Mon</v>
      </c>
      <c r="G117" s="4" t="n">
        <f aca="false">Settings!$B$4+(B117-1)*Settings!$B$11+INDEX(Settings!$B$7:$B$9,MATCH(E117,Settings!$A$7:$A$9,0))</f>
        <v>46587</v>
      </c>
      <c r="H117" s="5" t="n">
        <f aca="false">G117-G116</f>
        <v>3</v>
      </c>
      <c r="I117" s="6" t="s">
        <v>74</v>
      </c>
      <c r="J117" s="2" t="s">
        <v>19</v>
      </c>
      <c r="K117" s="2"/>
      <c r="L117" s="2"/>
    </row>
    <row r="118" customFormat="false" ht="15" hidden="false" customHeight="false" outlineLevel="0" collapsed="false">
      <c r="A118" s="2" t="n">
        <v>117</v>
      </c>
      <c r="B118" s="2" t="n">
        <f aca="false">INT((A118-1)/3)+1</f>
        <v>39</v>
      </c>
      <c r="C118" s="3" t="n">
        <v>39</v>
      </c>
      <c r="D118" s="2" t="s">
        <v>75</v>
      </c>
      <c r="E118" s="2" t="s">
        <v>20</v>
      </c>
      <c r="F118" s="2" t="str">
        <f aca="false">TEXT(G118,"ddd")</f>
        <v>Wed</v>
      </c>
      <c r="G118" s="4" t="n">
        <f aca="false">Settings!$B$4+(B118-1)*Settings!$B$11+INDEX(Settings!$B$7:$B$9,MATCH(E118,Settings!$A$7:$A$9,0))</f>
        <v>46589</v>
      </c>
      <c r="H118" s="5" t="n">
        <f aca="false">G118-G117</f>
        <v>2</v>
      </c>
      <c r="I118" s="6" t="s">
        <v>74</v>
      </c>
      <c r="J118" s="2" t="s">
        <v>19</v>
      </c>
      <c r="K118" s="2"/>
      <c r="L118" s="2"/>
    </row>
    <row r="119" customFormat="false" ht="15" hidden="false" customHeight="false" outlineLevel="0" collapsed="false">
      <c r="A119" s="2" t="n">
        <v>118</v>
      </c>
      <c r="B119" s="2" t="n">
        <f aca="false">INT((A119-1)/3)+1</f>
        <v>40</v>
      </c>
      <c r="C119" s="3" t="n">
        <v>40</v>
      </c>
      <c r="D119" s="2" t="s">
        <v>76</v>
      </c>
      <c r="E119" s="2" t="s">
        <v>13</v>
      </c>
      <c r="F119" s="2" t="str">
        <f aca="false">TEXT(G119,"ddd")</f>
        <v>Fri</v>
      </c>
      <c r="G119" s="4" t="n">
        <f aca="false">Settings!$B$4+(B119-1)*Settings!$B$11+INDEX(Settings!$B$7:$B$9,MATCH(E119,Settings!$A$7:$A$9,0))</f>
        <v>46591</v>
      </c>
      <c r="H119" s="5" t="n">
        <f aca="false">G119-G118</f>
        <v>2</v>
      </c>
      <c r="I119" s="6" t="s">
        <v>74</v>
      </c>
      <c r="J119" s="2" t="s">
        <v>19</v>
      </c>
      <c r="K119" s="2"/>
      <c r="L119" s="2"/>
    </row>
    <row r="120" customFormat="false" ht="15" hidden="false" customHeight="false" outlineLevel="0" collapsed="false">
      <c r="A120" s="2" t="n">
        <v>119</v>
      </c>
      <c r="B120" s="2" t="n">
        <f aca="false">INT((A120-1)/3)+1</f>
        <v>40</v>
      </c>
      <c r="C120" s="3" t="n">
        <v>40</v>
      </c>
      <c r="D120" s="2" t="s">
        <v>76</v>
      </c>
      <c r="E120" s="2" t="s">
        <v>18</v>
      </c>
      <c r="F120" s="2" t="str">
        <f aca="false">TEXT(G120,"ddd")</f>
        <v>Mon</v>
      </c>
      <c r="G120" s="4" t="n">
        <f aca="false">Settings!$B$4+(B120-1)*Settings!$B$11+INDEX(Settings!$B$7:$B$9,MATCH(E120,Settings!$A$7:$A$9,0))</f>
        <v>46594</v>
      </c>
      <c r="H120" s="5" t="n">
        <f aca="false">G120-G119</f>
        <v>3</v>
      </c>
      <c r="I120" s="6" t="s">
        <v>74</v>
      </c>
      <c r="J120" s="2" t="s">
        <v>19</v>
      </c>
      <c r="K120" s="2"/>
      <c r="L120" s="2"/>
    </row>
    <row r="121" customFormat="false" ht="15" hidden="false" customHeight="false" outlineLevel="0" collapsed="false">
      <c r="A121" s="2" t="n">
        <v>120</v>
      </c>
      <c r="B121" s="2" t="n">
        <f aca="false">INT((A121-1)/3)+1</f>
        <v>40</v>
      </c>
      <c r="C121" s="3" t="n">
        <v>40</v>
      </c>
      <c r="D121" s="2" t="s">
        <v>76</v>
      </c>
      <c r="E121" s="2" t="s">
        <v>20</v>
      </c>
      <c r="F121" s="2" t="str">
        <f aca="false">TEXT(G121,"ddd")</f>
        <v>Wed</v>
      </c>
      <c r="G121" s="4" t="n">
        <f aca="false">Settings!$B$4+(B121-1)*Settings!$B$11+INDEX(Settings!$B$7:$B$9,MATCH(E121,Settings!$A$7:$A$9,0))</f>
        <v>46596</v>
      </c>
      <c r="H121" s="5" t="n">
        <f aca="false">G121-G120</f>
        <v>2</v>
      </c>
      <c r="I121" s="6" t="s">
        <v>74</v>
      </c>
      <c r="J121" s="2" t="s">
        <v>19</v>
      </c>
      <c r="K121" s="2"/>
      <c r="L121" s="2"/>
    </row>
    <row r="122" customFormat="false" ht="15" hidden="false" customHeight="false" outlineLevel="0" collapsed="false">
      <c r="A122" s="2" t="n">
        <v>121</v>
      </c>
      <c r="B122" s="2" t="n">
        <f aca="false">INT((A122-1)/3)+1</f>
        <v>41</v>
      </c>
      <c r="C122" s="3" t="n">
        <v>41</v>
      </c>
      <c r="D122" s="2" t="s">
        <v>77</v>
      </c>
      <c r="E122" s="2" t="s">
        <v>13</v>
      </c>
      <c r="F122" s="2" t="str">
        <f aca="false">TEXT(G122,"ddd")</f>
        <v>Fri</v>
      </c>
      <c r="G122" s="4" t="n">
        <f aca="false">Settings!$B$4+(B122-1)*Settings!$B$11+INDEX(Settings!$B$7:$B$9,MATCH(E122,Settings!$A$7:$A$9,0))</f>
        <v>46598</v>
      </c>
      <c r="H122" s="5" t="n">
        <f aca="false">G122-G121</f>
        <v>2</v>
      </c>
      <c r="I122" s="6" t="s">
        <v>78</v>
      </c>
      <c r="J122" s="2" t="s">
        <v>19</v>
      </c>
      <c r="K122" s="2"/>
      <c r="L122" s="2"/>
    </row>
    <row r="123" customFormat="false" ht="15" hidden="false" customHeight="false" outlineLevel="0" collapsed="false">
      <c r="A123" s="2" t="n">
        <v>122</v>
      </c>
      <c r="B123" s="2" t="n">
        <f aca="false">INT((A123-1)/3)+1</f>
        <v>41</v>
      </c>
      <c r="C123" s="3" t="n">
        <v>41</v>
      </c>
      <c r="D123" s="2" t="s">
        <v>77</v>
      </c>
      <c r="E123" s="2" t="s">
        <v>18</v>
      </c>
      <c r="F123" s="2" t="str">
        <f aca="false">TEXT(G123,"ddd")</f>
        <v>Mon</v>
      </c>
      <c r="G123" s="4" t="n">
        <f aca="false">Settings!$B$4+(B123-1)*Settings!$B$11+INDEX(Settings!$B$7:$B$9,MATCH(E123,Settings!$A$7:$A$9,0))</f>
        <v>46601</v>
      </c>
      <c r="H123" s="5" t="n">
        <f aca="false">G123-G122</f>
        <v>3</v>
      </c>
      <c r="I123" s="6" t="s">
        <v>78</v>
      </c>
      <c r="J123" s="2" t="s">
        <v>19</v>
      </c>
      <c r="K123" s="2"/>
      <c r="L123" s="2"/>
    </row>
    <row r="124" customFormat="false" ht="15" hidden="false" customHeight="false" outlineLevel="0" collapsed="false">
      <c r="A124" s="2" t="n">
        <v>123</v>
      </c>
      <c r="B124" s="2" t="n">
        <f aca="false">INT((A124-1)/3)+1</f>
        <v>41</v>
      </c>
      <c r="C124" s="3" t="n">
        <v>41</v>
      </c>
      <c r="D124" s="2" t="s">
        <v>77</v>
      </c>
      <c r="E124" s="2" t="s">
        <v>20</v>
      </c>
      <c r="F124" s="2" t="str">
        <f aca="false">TEXT(G124,"ddd")</f>
        <v>Wed</v>
      </c>
      <c r="G124" s="4" t="n">
        <f aca="false">Settings!$B$4+(B124-1)*Settings!$B$11+INDEX(Settings!$B$7:$B$9,MATCH(E124,Settings!$A$7:$A$9,0))</f>
        <v>46603</v>
      </c>
      <c r="H124" s="5" t="n">
        <f aca="false">G124-G123</f>
        <v>2</v>
      </c>
      <c r="I124" s="6" t="s">
        <v>78</v>
      </c>
      <c r="J124" s="2" t="s">
        <v>19</v>
      </c>
      <c r="K124" s="2"/>
      <c r="L124" s="2"/>
    </row>
    <row r="125" customFormat="false" ht="15" hidden="false" customHeight="false" outlineLevel="0" collapsed="false">
      <c r="A125" s="2" t="n">
        <v>124</v>
      </c>
      <c r="B125" s="2" t="n">
        <f aca="false">INT((A125-1)/3)+1</f>
        <v>42</v>
      </c>
      <c r="C125" s="3" t="n">
        <v>42</v>
      </c>
      <c r="D125" s="2" t="s">
        <v>79</v>
      </c>
      <c r="E125" s="2" t="s">
        <v>13</v>
      </c>
      <c r="F125" s="2" t="str">
        <f aca="false">TEXT(G125,"ddd")</f>
        <v>Fri</v>
      </c>
      <c r="G125" s="4" t="n">
        <f aca="false">Settings!$B$4+(B125-1)*Settings!$B$11+INDEX(Settings!$B$7:$B$9,MATCH(E125,Settings!$A$7:$A$9,0))</f>
        <v>46605</v>
      </c>
      <c r="H125" s="5" t="n">
        <f aca="false">G125-G124</f>
        <v>2</v>
      </c>
      <c r="I125" s="6" t="s">
        <v>78</v>
      </c>
      <c r="J125" s="2" t="s">
        <v>19</v>
      </c>
      <c r="K125" s="2"/>
      <c r="L125" s="2"/>
    </row>
    <row r="126" customFormat="false" ht="15" hidden="false" customHeight="false" outlineLevel="0" collapsed="false">
      <c r="A126" s="2" t="n">
        <v>125</v>
      </c>
      <c r="B126" s="2" t="n">
        <f aca="false">INT((A126-1)/3)+1</f>
        <v>42</v>
      </c>
      <c r="C126" s="3" t="n">
        <v>42</v>
      </c>
      <c r="D126" s="2" t="s">
        <v>79</v>
      </c>
      <c r="E126" s="2" t="s">
        <v>18</v>
      </c>
      <c r="F126" s="2" t="str">
        <f aca="false">TEXT(G126,"ddd")</f>
        <v>Mon</v>
      </c>
      <c r="G126" s="4" t="n">
        <f aca="false">Settings!$B$4+(B126-1)*Settings!$B$11+INDEX(Settings!$B$7:$B$9,MATCH(E126,Settings!$A$7:$A$9,0))</f>
        <v>46608</v>
      </c>
      <c r="H126" s="5" t="n">
        <f aca="false">G126-G125</f>
        <v>3</v>
      </c>
      <c r="I126" s="6" t="s">
        <v>78</v>
      </c>
      <c r="J126" s="2" t="s">
        <v>19</v>
      </c>
      <c r="K126" s="2"/>
      <c r="L126" s="2"/>
    </row>
    <row r="127" customFormat="false" ht="15" hidden="false" customHeight="false" outlineLevel="0" collapsed="false">
      <c r="A127" s="2" t="n">
        <v>126</v>
      </c>
      <c r="B127" s="2" t="n">
        <f aca="false">INT((A127-1)/3)+1</f>
        <v>42</v>
      </c>
      <c r="C127" s="3" t="n">
        <v>42</v>
      </c>
      <c r="D127" s="2" t="s">
        <v>79</v>
      </c>
      <c r="E127" s="2" t="s">
        <v>20</v>
      </c>
      <c r="F127" s="2" t="str">
        <f aca="false">TEXT(G127,"ddd")</f>
        <v>Wed</v>
      </c>
      <c r="G127" s="4" t="n">
        <f aca="false">Settings!$B$4+(B127-1)*Settings!$B$11+INDEX(Settings!$B$7:$B$9,MATCH(E127,Settings!$A$7:$A$9,0))</f>
        <v>46610</v>
      </c>
      <c r="H127" s="5" t="n">
        <f aca="false">G127-G126</f>
        <v>2</v>
      </c>
      <c r="I127" s="6" t="s">
        <v>78</v>
      </c>
      <c r="J127" s="2" t="s">
        <v>19</v>
      </c>
      <c r="K127" s="2"/>
      <c r="L127" s="2"/>
    </row>
    <row r="128" customFormat="false" ht="15" hidden="false" customHeight="false" outlineLevel="0" collapsed="false">
      <c r="A128" s="2" t="n">
        <v>127</v>
      </c>
      <c r="B128" s="2" t="n">
        <f aca="false">INT((A128-1)/3)+1</f>
        <v>43</v>
      </c>
      <c r="C128" s="3" t="n">
        <v>43</v>
      </c>
      <c r="D128" s="2" t="s">
        <v>80</v>
      </c>
      <c r="E128" s="2" t="s">
        <v>13</v>
      </c>
      <c r="F128" s="2" t="str">
        <f aca="false">TEXT(G128,"ddd")</f>
        <v>Fri</v>
      </c>
      <c r="G128" s="4" t="n">
        <f aca="false">Settings!$B$4+(B128-1)*Settings!$B$11+INDEX(Settings!$B$7:$B$9,MATCH(E128,Settings!$A$7:$A$9,0))</f>
        <v>46612</v>
      </c>
      <c r="H128" s="5" t="n">
        <f aca="false">G128-G127</f>
        <v>2</v>
      </c>
      <c r="I128" s="6" t="s">
        <v>78</v>
      </c>
      <c r="J128" s="2" t="s">
        <v>19</v>
      </c>
      <c r="K128" s="2"/>
      <c r="L128" s="2"/>
    </row>
    <row r="129" customFormat="false" ht="15" hidden="false" customHeight="false" outlineLevel="0" collapsed="false">
      <c r="A129" s="2" t="n">
        <v>128</v>
      </c>
      <c r="B129" s="2" t="n">
        <f aca="false">INT((A129-1)/3)+1</f>
        <v>43</v>
      </c>
      <c r="C129" s="3" t="n">
        <v>43</v>
      </c>
      <c r="D129" s="2" t="s">
        <v>80</v>
      </c>
      <c r="E129" s="2" t="s">
        <v>18</v>
      </c>
      <c r="F129" s="2" t="str">
        <f aca="false">TEXT(G129,"ddd")</f>
        <v>Mon</v>
      </c>
      <c r="G129" s="4" t="n">
        <f aca="false">Settings!$B$4+(B129-1)*Settings!$B$11+INDEX(Settings!$B$7:$B$9,MATCH(E129,Settings!$A$7:$A$9,0))</f>
        <v>46615</v>
      </c>
      <c r="H129" s="5" t="n">
        <f aca="false">G129-G128</f>
        <v>3</v>
      </c>
      <c r="I129" s="6" t="s">
        <v>78</v>
      </c>
      <c r="J129" s="2" t="s">
        <v>19</v>
      </c>
      <c r="K129" s="2"/>
      <c r="L129" s="2"/>
    </row>
    <row r="130" customFormat="false" ht="15" hidden="false" customHeight="false" outlineLevel="0" collapsed="false">
      <c r="A130" s="2" t="n">
        <v>129</v>
      </c>
      <c r="B130" s="2" t="n">
        <f aca="false">INT((A130-1)/3)+1</f>
        <v>43</v>
      </c>
      <c r="C130" s="3" t="n">
        <v>43</v>
      </c>
      <c r="D130" s="2" t="s">
        <v>80</v>
      </c>
      <c r="E130" s="2" t="s">
        <v>20</v>
      </c>
      <c r="F130" s="2" t="str">
        <f aca="false">TEXT(G130,"ddd")</f>
        <v>Wed</v>
      </c>
      <c r="G130" s="4" t="n">
        <f aca="false">Settings!$B$4+(B130-1)*Settings!$B$11+INDEX(Settings!$B$7:$B$9,MATCH(E130,Settings!$A$7:$A$9,0))</f>
        <v>46617</v>
      </c>
      <c r="H130" s="5" t="n">
        <f aca="false">G130-G129</f>
        <v>2</v>
      </c>
      <c r="I130" s="6" t="s">
        <v>78</v>
      </c>
      <c r="J130" s="2" t="s">
        <v>19</v>
      </c>
      <c r="K130" s="2"/>
      <c r="L130" s="2"/>
    </row>
    <row r="131" customFormat="false" ht="15" hidden="false" customHeight="false" outlineLevel="0" collapsed="false">
      <c r="A131" s="2" t="n">
        <v>130</v>
      </c>
      <c r="B131" s="2" t="n">
        <f aca="false">INT((A131-1)/3)+1</f>
        <v>44</v>
      </c>
      <c r="C131" s="3" t="n">
        <v>44</v>
      </c>
      <c r="D131" s="2" t="s">
        <v>81</v>
      </c>
      <c r="E131" s="2" t="s">
        <v>13</v>
      </c>
      <c r="F131" s="2" t="str">
        <f aca="false">TEXT(G131,"ddd")</f>
        <v>Fri</v>
      </c>
      <c r="G131" s="4" t="n">
        <f aca="false">Settings!$B$4+(B131-1)*Settings!$B$11+INDEX(Settings!$B$7:$B$9,MATCH(E131,Settings!$A$7:$A$9,0))</f>
        <v>46619</v>
      </c>
      <c r="H131" s="5" t="n">
        <f aca="false">G131-G130</f>
        <v>2</v>
      </c>
      <c r="I131" s="6" t="s">
        <v>82</v>
      </c>
      <c r="J131" s="2" t="s">
        <v>19</v>
      </c>
      <c r="K131" s="2"/>
      <c r="L131" s="2"/>
    </row>
    <row r="132" customFormat="false" ht="15" hidden="false" customHeight="false" outlineLevel="0" collapsed="false">
      <c r="A132" s="2" t="n">
        <v>131</v>
      </c>
      <c r="B132" s="2" t="n">
        <f aca="false">INT((A132-1)/3)+1</f>
        <v>44</v>
      </c>
      <c r="C132" s="3" t="n">
        <v>44</v>
      </c>
      <c r="D132" s="2" t="s">
        <v>81</v>
      </c>
      <c r="E132" s="2" t="s">
        <v>18</v>
      </c>
      <c r="F132" s="2" t="str">
        <f aca="false">TEXT(G132,"ddd")</f>
        <v>Mon</v>
      </c>
      <c r="G132" s="4" t="n">
        <f aca="false">Settings!$B$4+(B132-1)*Settings!$B$11+INDEX(Settings!$B$7:$B$9,MATCH(E132,Settings!$A$7:$A$9,0))</f>
        <v>46622</v>
      </c>
      <c r="H132" s="5" t="n">
        <f aca="false">G132-G131</f>
        <v>3</v>
      </c>
      <c r="I132" s="6" t="s">
        <v>82</v>
      </c>
      <c r="J132" s="2" t="s">
        <v>19</v>
      </c>
      <c r="K132" s="2"/>
      <c r="L132" s="2"/>
    </row>
    <row r="133" customFormat="false" ht="15" hidden="false" customHeight="false" outlineLevel="0" collapsed="false">
      <c r="A133" s="2" t="n">
        <v>132</v>
      </c>
      <c r="B133" s="2" t="n">
        <f aca="false">INT((A133-1)/3)+1</f>
        <v>44</v>
      </c>
      <c r="C133" s="3" t="n">
        <v>44</v>
      </c>
      <c r="D133" s="2" t="s">
        <v>81</v>
      </c>
      <c r="E133" s="2" t="s">
        <v>20</v>
      </c>
      <c r="F133" s="2" t="str">
        <f aca="false">TEXT(G133,"ddd")</f>
        <v>Wed</v>
      </c>
      <c r="G133" s="4" t="n">
        <f aca="false">Settings!$B$4+(B133-1)*Settings!$B$11+INDEX(Settings!$B$7:$B$9,MATCH(E133,Settings!$A$7:$A$9,0))</f>
        <v>46624</v>
      </c>
      <c r="H133" s="5" t="n">
        <f aca="false">G133-G132</f>
        <v>2</v>
      </c>
      <c r="I133" s="6" t="s">
        <v>82</v>
      </c>
      <c r="J133" s="2" t="s">
        <v>19</v>
      </c>
      <c r="K133" s="2"/>
      <c r="L133" s="2"/>
    </row>
    <row r="134" customFormat="false" ht="15" hidden="false" customHeight="false" outlineLevel="0" collapsed="false">
      <c r="A134" s="2" t="n">
        <v>133</v>
      </c>
      <c r="B134" s="2" t="n">
        <f aca="false">INT((A134-1)/3)+1</f>
        <v>45</v>
      </c>
      <c r="C134" s="3" t="n">
        <v>45</v>
      </c>
      <c r="D134" s="2" t="s">
        <v>83</v>
      </c>
      <c r="E134" s="2" t="s">
        <v>13</v>
      </c>
      <c r="F134" s="2" t="str">
        <f aca="false">TEXT(G134,"ddd")</f>
        <v>Fri</v>
      </c>
      <c r="G134" s="4" t="n">
        <f aca="false">Settings!$B$4+(B134-1)*Settings!$B$11+INDEX(Settings!$B$7:$B$9,MATCH(E134,Settings!$A$7:$A$9,0))</f>
        <v>46626</v>
      </c>
      <c r="H134" s="5" t="n">
        <f aca="false">G134-G133</f>
        <v>2</v>
      </c>
      <c r="I134" s="6" t="s">
        <v>82</v>
      </c>
      <c r="J134" s="2" t="s">
        <v>19</v>
      </c>
      <c r="K134" s="2"/>
      <c r="L134" s="2"/>
    </row>
    <row r="135" customFormat="false" ht="15" hidden="false" customHeight="false" outlineLevel="0" collapsed="false">
      <c r="A135" s="2" t="n">
        <v>134</v>
      </c>
      <c r="B135" s="2" t="n">
        <f aca="false">INT((A135-1)/3)+1</f>
        <v>45</v>
      </c>
      <c r="C135" s="3" t="n">
        <v>45</v>
      </c>
      <c r="D135" s="2" t="s">
        <v>83</v>
      </c>
      <c r="E135" s="2" t="s">
        <v>18</v>
      </c>
      <c r="F135" s="2" t="str">
        <f aca="false">TEXT(G135,"ddd")</f>
        <v>Mon</v>
      </c>
      <c r="G135" s="4" t="n">
        <f aca="false">Settings!$B$4+(B135-1)*Settings!$B$11+INDEX(Settings!$B$7:$B$9,MATCH(E135,Settings!$A$7:$A$9,0))</f>
        <v>46629</v>
      </c>
      <c r="H135" s="5" t="n">
        <f aca="false">G135-G134</f>
        <v>3</v>
      </c>
      <c r="I135" s="6" t="s">
        <v>82</v>
      </c>
      <c r="J135" s="2" t="s">
        <v>19</v>
      </c>
      <c r="K135" s="2"/>
      <c r="L135" s="2"/>
    </row>
    <row r="136" customFormat="false" ht="15" hidden="false" customHeight="false" outlineLevel="0" collapsed="false">
      <c r="A136" s="2" t="n">
        <v>135</v>
      </c>
      <c r="B136" s="2" t="n">
        <f aca="false">INT((A136-1)/3)+1</f>
        <v>45</v>
      </c>
      <c r="C136" s="3" t="n">
        <v>45</v>
      </c>
      <c r="D136" s="2" t="s">
        <v>83</v>
      </c>
      <c r="E136" s="2" t="s">
        <v>20</v>
      </c>
      <c r="F136" s="2" t="str">
        <f aca="false">TEXT(G136,"ddd")</f>
        <v>Wed</v>
      </c>
      <c r="G136" s="4" t="n">
        <f aca="false">Settings!$B$4+(B136-1)*Settings!$B$11+INDEX(Settings!$B$7:$B$9,MATCH(E136,Settings!$A$7:$A$9,0))</f>
        <v>46631</v>
      </c>
      <c r="H136" s="5" t="n">
        <f aca="false">G136-G135</f>
        <v>2</v>
      </c>
      <c r="I136" s="6" t="s">
        <v>82</v>
      </c>
      <c r="J136" s="2" t="s">
        <v>19</v>
      </c>
      <c r="K136" s="2"/>
      <c r="L136" s="2"/>
    </row>
    <row r="137" customFormat="false" ht="15" hidden="false" customHeight="false" outlineLevel="0" collapsed="false">
      <c r="A137" s="2" t="n">
        <v>136</v>
      </c>
      <c r="B137" s="2" t="n">
        <f aca="false">INT((A137-1)/3)+1</f>
        <v>46</v>
      </c>
      <c r="C137" s="3" t="n">
        <v>46</v>
      </c>
      <c r="D137" s="2" t="s">
        <v>84</v>
      </c>
      <c r="E137" s="2" t="s">
        <v>13</v>
      </c>
      <c r="F137" s="2" t="str">
        <f aca="false">TEXT(G137,"ddd")</f>
        <v>Fri</v>
      </c>
      <c r="G137" s="4" t="n">
        <f aca="false">Settings!$B$4+(B137-1)*Settings!$B$11+INDEX(Settings!$B$7:$B$9,MATCH(E137,Settings!$A$7:$A$9,0))</f>
        <v>46633</v>
      </c>
      <c r="H137" s="5" t="n">
        <f aca="false">G137-G136</f>
        <v>2</v>
      </c>
      <c r="I137" s="6" t="s">
        <v>82</v>
      </c>
      <c r="J137" s="2" t="s">
        <v>19</v>
      </c>
      <c r="K137" s="2"/>
      <c r="L137" s="2"/>
    </row>
    <row r="138" customFormat="false" ht="15" hidden="false" customHeight="false" outlineLevel="0" collapsed="false">
      <c r="A138" s="2" t="n">
        <v>137</v>
      </c>
      <c r="B138" s="2" t="n">
        <f aca="false">INT((A138-1)/3)+1</f>
        <v>46</v>
      </c>
      <c r="C138" s="3" t="n">
        <v>46</v>
      </c>
      <c r="D138" s="2" t="s">
        <v>84</v>
      </c>
      <c r="E138" s="2" t="s">
        <v>18</v>
      </c>
      <c r="F138" s="2" t="str">
        <f aca="false">TEXT(G138,"ddd")</f>
        <v>Mon</v>
      </c>
      <c r="G138" s="4" t="n">
        <f aca="false">Settings!$B$4+(B138-1)*Settings!$B$11+INDEX(Settings!$B$7:$B$9,MATCH(E138,Settings!$A$7:$A$9,0))</f>
        <v>46636</v>
      </c>
      <c r="H138" s="5" t="n">
        <f aca="false">G138-G137</f>
        <v>3</v>
      </c>
      <c r="I138" s="6" t="s">
        <v>82</v>
      </c>
      <c r="J138" s="2" t="s">
        <v>19</v>
      </c>
      <c r="K138" s="2"/>
      <c r="L138" s="2"/>
    </row>
    <row r="139" customFormat="false" ht="15" hidden="false" customHeight="false" outlineLevel="0" collapsed="false">
      <c r="A139" s="2" t="n">
        <v>138</v>
      </c>
      <c r="B139" s="2" t="n">
        <f aca="false">INT((A139-1)/3)+1</f>
        <v>46</v>
      </c>
      <c r="C139" s="3" t="n">
        <v>46</v>
      </c>
      <c r="D139" s="2" t="s">
        <v>84</v>
      </c>
      <c r="E139" s="2" t="s">
        <v>20</v>
      </c>
      <c r="F139" s="2" t="str">
        <f aca="false">TEXT(G139,"ddd")</f>
        <v>Wed</v>
      </c>
      <c r="G139" s="4" t="n">
        <f aca="false">Settings!$B$4+(B139-1)*Settings!$B$11+INDEX(Settings!$B$7:$B$9,MATCH(E139,Settings!$A$7:$A$9,0))</f>
        <v>46638</v>
      </c>
      <c r="H139" s="5" t="n">
        <f aca="false">G139-G138</f>
        <v>2</v>
      </c>
      <c r="I139" s="6" t="s">
        <v>82</v>
      </c>
      <c r="J139" s="2" t="s">
        <v>19</v>
      </c>
      <c r="K139" s="2"/>
      <c r="L139" s="2"/>
    </row>
    <row r="140" customFormat="false" ht="15" hidden="false" customHeight="false" outlineLevel="0" collapsed="false">
      <c r="A140" s="2" t="n">
        <v>139</v>
      </c>
      <c r="B140" s="2" t="n">
        <f aca="false">INT((A140-1)/3)+1</f>
        <v>47</v>
      </c>
      <c r="C140" s="3" t="n">
        <v>47</v>
      </c>
      <c r="D140" s="2" t="s">
        <v>85</v>
      </c>
      <c r="E140" s="2" t="s">
        <v>13</v>
      </c>
      <c r="F140" s="2" t="str">
        <f aca="false">TEXT(G140,"ddd")</f>
        <v>Fri</v>
      </c>
      <c r="G140" s="4" t="n">
        <f aca="false">Settings!$B$4+(B140-1)*Settings!$B$11+INDEX(Settings!$B$7:$B$9,MATCH(E140,Settings!$A$7:$A$9,0))</f>
        <v>46640</v>
      </c>
      <c r="H140" s="5" t="n">
        <f aca="false">G140-G139</f>
        <v>2</v>
      </c>
      <c r="I140" s="6" t="s">
        <v>82</v>
      </c>
      <c r="J140" s="2" t="s">
        <v>19</v>
      </c>
      <c r="K140" s="2"/>
      <c r="L140" s="2"/>
    </row>
    <row r="141" customFormat="false" ht="15" hidden="false" customHeight="false" outlineLevel="0" collapsed="false">
      <c r="A141" s="2" t="n">
        <v>140</v>
      </c>
      <c r="B141" s="2" t="n">
        <f aca="false">INT((A141-1)/3)+1</f>
        <v>47</v>
      </c>
      <c r="C141" s="3" t="n">
        <v>47</v>
      </c>
      <c r="D141" s="2" t="s">
        <v>85</v>
      </c>
      <c r="E141" s="2" t="s">
        <v>18</v>
      </c>
      <c r="F141" s="2" t="str">
        <f aca="false">TEXT(G141,"ddd")</f>
        <v>Mon</v>
      </c>
      <c r="G141" s="4" t="n">
        <f aca="false">Settings!$B$4+(B141-1)*Settings!$B$11+INDEX(Settings!$B$7:$B$9,MATCH(E141,Settings!$A$7:$A$9,0))</f>
        <v>46643</v>
      </c>
      <c r="H141" s="5" t="n">
        <f aca="false">G141-G140</f>
        <v>3</v>
      </c>
      <c r="I141" s="6" t="s">
        <v>82</v>
      </c>
      <c r="J141" s="2" t="s">
        <v>19</v>
      </c>
      <c r="K141" s="2"/>
      <c r="L141" s="2"/>
    </row>
    <row r="142" customFormat="false" ht="15" hidden="false" customHeight="false" outlineLevel="0" collapsed="false">
      <c r="A142" s="2" t="n">
        <v>141</v>
      </c>
      <c r="B142" s="2" t="n">
        <f aca="false">INT((A142-1)/3)+1</f>
        <v>47</v>
      </c>
      <c r="C142" s="3" t="n">
        <v>47</v>
      </c>
      <c r="D142" s="2" t="s">
        <v>85</v>
      </c>
      <c r="E142" s="2" t="s">
        <v>20</v>
      </c>
      <c r="F142" s="2" t="str">
        <f aca="false">TEXT(G142,"ddd")</f>
        <v>Wed</v>
      </c>
      <c r="G142" s="4" t="n">
        <f aca="false">Settings!$B$4+(B142-1)*Settings!$B$11+INDEX(Settings!$B$7:$B$9,MATCH(E142,Settings!$A$7:$A$9,0))</f>
        <v>46645</v>
      </c>
      <c r="H142" s="5" t="n">
        <f aca="false">G142-G141</f>
        <v>2</v>
      </c>
      <c r="I142" s="6" t="s">
        <v>82</v>
      </c>
      <c r="J142" s="2" t="s">
        <v>19</v>
      </c>
      <c r="K142" s="2"/>
      <c r="L142" s="2"/>
    </row>
    <row r="143" customFormat="false" ht="15" hidden="false" customHeight="false" outlineLevel="0" collapsed="false">
      <c r="A143" s="2" t="n">
        <v>142</v>
      </c>
      <c r="B143" s="2" t="n">
        <f aca="false">INT((A143-1)/3)+1</f>
        <v>48</v>
      </c>
      <c r="C143" s="3" t="n">
        <v>48</v>
      </c>
      <c r="D143" s="2" t="s">
        <v>86</v>
      </c>
      <c r="E143" s="2" t="s">
        <v>13</v>
      </c>
      <c r="F143" s="2" t="str">
        <f aca="false">TEXT(G143,"ddd")</f>
        <v>Fri</v>
      </c>
      <c r="G143" s="4" t="n">
        <f aca="false">Settings!$B$4+(B143-1)*Settings!$B$11+INDEX(Settings!$B$7:$B$9,MATCH(E143,Settings!$A$7:$A$9,0))</f>
        <v>46647</v>
      </c>
      <c r="H143" s="5" t="n">
        <f aca="false">G143-G142</f>
        <v>2</v>
      </c>
      <c r="I143" s="6" t="s">
        <v>82</v>
      </c>
      <c r="J143" s="2" t="s">
        <v>19</v>
      </c>
      <c r="K143" s="2"/>
      <c r="L143" s="2"/>
    </row>
    <row r="144" customFormat="false" ht="15" hidden="false" customHeight="false" outlineLevel="0" collapsed="false">
      <c r="A144" s="2" t="n">
        <v>143</v>
      </c>
      <c r="B144" s="2" t="n">
        <f aca="false">INT((A144-1)/3)+1</f>
        <v>48</v>
      </c>
      <c r="C144" s="3" t="n">
        <v>48</v>
      </c>
      <c r="D144" s="2" t="s">
        <v>86</v>
      </c>
      <c r="E144" s="2" t="s">
        <v>18</v>
      </c>
      <c r="F144" s="2" t="str">
        <f aca="false">TEXT(G144,"ddd")</f>
        <v>Mon</v>
      </c>
      <c r="G144" s="4" t="n">
        <f aca="false">Settings!$B$4+(B144-1)*Settings!$B$11+INDEX(Settings!$B$7:$B$9,MATCH(E144,Settings!$A$7:$A$9,0))</f>
        <v>46650</v>
      </c>
      <c r="H144" s="5" t="n">
        <f aca="false">G144-G143</f>
        <v>3</v>
      </c>
      <c r="I144" s="6" t="s">
        <v>82</v>
      </c>
      <c r="J144" s="2" t="s">
        <v>19</v>
      </c>
      <c r="K144" s="2"/>
      <c r="L144" s="2"/>
    </row>
    <row r="145" customFormat="false" ht="15" hidden="false" customHeight="false" outlineLevel="0" collapsed="false">
      <c r="A145" s="2" t="n">
        <v>144</v>
      </c>
      <c r="B145" s="2" t="n">
        <f aca="false">INT((A145-1)/3)+1</f>
        <v>48</v>
      </c>
      <c r="C145" s="3" t="n">
        <v>48</v>
      </c>
      <c r="D145" s="2" t="s">
        <v>86</v>
      </c>
      <c r="E145" s="2" t="s">
        <v>20</v>
      </c>
      <c r="F145" s="2" t="str">
        <f aca="false">TEXT(G145,"ddd")</f>
        <v>Wed</v>
      </c>
      <c r="G145" s="4" t="n">
        <f aca="false">Settings!$B$4+(B145-1)*Settings!$B$11+INDEX(Settings!$B$7:$B$9,MATCH(E145,Settings!$A$7:$A$9,0))</f>
        <v>46652</v>
      </c>
      <c r="H145" s="5" t="n">
        <f aca="false">G145-G144</f>
        <v>2</v>
      </c>
      <c r="I145" s="6" t="s">
        <v>82</v>
      </c>
      <c r="J145" s="2" t="s">
        <v>19</v>
      </c>
      <c r="K145" s="2"/>
      <c r="L145" s="2"/>
    </row>
    <row r="146" customFormat="false" ht="15" hidden="false" customHeight="false" outlineLevel="0" collapsed="false">
      <c r="A146" s="2" t="n">
        <v>145</v>
      </c>
      <c r="B146" s="2" t="n">
        <f aca="false">INT((A146-1)/3)+1</f>
        <v>49</v>
      </c>
      <c r="C146" s="3" t="n">
        <v>49</v>
      </c>
      <c r="D146" s="2" t="s">
        <v>87</v>
      </c>
      <c r="E146" s="2" t="s">
        <v>13</v>
      </c>
      <c r="F146" s="2" t="str">
        <f aca="false">TEXT(G146,"ddd")</f>
        <v>Fri</v>
      </c>
      <c r="G146" s="4" t="n">
        <f aca="false">Settings!$B$4+(B146-1)*Settings!$B$11+INDEX(Settings!$B$7:$B$9,MATCH(E146,Settings!$A$7:$A$9,0))</f>
        <v>46654</v>
      </c>
      <c r="H146" s="5" t="n">
        <f aca="false">G146-G145</f>
        <v>2</v>
      </c>
      <c r="I146" s="6" t="s">
        <v>88</v>
      </c>
      <c r="J146" s="2" t="s">
        <v>19</v>
      </c>
      <c r="K146" s="2"/>
      <c r="L146" s="2"/>
    </row>
    <row r="147" customFormat="false" ht="15" hidden="false" customHeight="false" outlineLevel="0" collapsed="false">
      <c r="A147" s="2" t="n">
        <v>146</v>
      </c>
      <c r="B147" s="2" t="n">
        <f aca="false">INT((A147-1)/3)+1</f>
        <v>49</v>
      </c>
      <c r="C147" s="3" t="n">
        <v>49</v>
      </c>
      <c r="D147" s="2" t="s">
        <v>87</v>
      </c>
      <c r="E147" s="2" t="s">
        <v>18</v>
      </c>
      <c r="F147" s="2" t="str">
        <f aca="false">TEXT(G147,"ddd")</f>
        <v>Mon</v>
      </c>
      <c r="G147" s="4" t="n">
        <f aca="false">Settings!$B$4+(B147-1)*Settings!$B$11+INDEX(Settings!$B$7:$B$9,MATCH(E147,Settings!$A$7:$A$9,0))</f>
        <v>46657</v>
      </c>
      <c r="H147" s="5" t="n">
        <f aca="false">G147-G146</f>
        <v>3</v>
      </c>
      <c r="I147" s="6" t="s">
        <v>88</v>
      </c>
      <c r="J147" s="2" t="s">
        <v>19</v>
      </c>
      <c r="K147" s="2"/>
      <c r="L147" s="2"/>
    </row>
    <row r="148" customFormat="false" ht="15" hidden="false" customHeight="false" outlineLevel="0" collapsed="false">
      <c r="A148" s="2" t="n">
        <v>147</v>
      </c>
      <c r="B148" s="2" t="n">
        <f aca="false">INT((A148-1)/3)+1</f>
        <v>49</v>
      </c>
      <c r="C148" s="3" t="n">
        <v>49</v>
      </c>
      <c r="D148" s="2" t="s">
        <v>87</v>
      </c>
      <c r="E148" s="2" t="s">
        <v>20</v>
      </c>
      <c r="F148" s="2" t="str">
        <f aca="false">TEXT(G148,"ddd")</f>
        <v>Wed</v>
      </c>
      <c r="G148" s="4" t="n">
        <f aca="false">Settings!$B$4+(B148-1)*Settings!$B$11+INDEX(Settings!$B$7:$B$9,MATCH(E148,Settings!$A$7:$A$9,0))</f>
        <v>46659</v>
      </c>
      <c r="H148" s="5" t="n">
        <f aca="false">G148-G147</f>
        <v>2</v>
      </c>
      <c r="I148" s="6" t="s">
        <v>88</v>
      </c>
      <c r="J148" s="2" t="s">
        <v>19</v>
      </c>
      <c r="K148" s="2"/>
      <c r="L148" s="2"/>
    </row>
    <row r="149" customFormat="false" ht="15" hidden="false" customHeight="false" outlineLevel="0" collapsed="false">
      <c r="A149" s="2" t="n">
        <v>148</v>
      </c>
      <c r="B149" s="2" t="n">
        <f aca="false">INT((A149-1)/3)+1</f>
        <v>50</v>
      </c>
      <c r="C149" s="3" t="n">
        <v>50</v>
      </c>
      <c r="D149" s="2" t="s">
        <v>89</v>
      </c>
      <c r="E149" s="2" t="s">
        <v>13</v>
      </c>
      <c r="F149" s="2" t="str">
        <f aca="false">TEXT(G149,"ddd")</f>
        <v>Fri</v>
      </c>
      <c r="G149" s="4" t="n">
        <f aca="false">Settings!$B$4+(B149-1)*Settings!$B$11+INDEX(Settings!$B$7:$B$9,MATCH(E149,Settings!$A$7:$A$9,0))</f>
        <v>46661</v>
      </c>
      <c r="H149" s="5" t="n">
        <f aca="false">G149-G148</f>
        <v>2</v>
      </c>
      <c r="I149" s="6" t="s">
        <v>88</v>
      </c>
      <c r="J149" s="2" t="s">
        <v>19</v>
      </c>
      <c r="K149" s="2"/>
      <c r="L149" s="2"/>
    </row>
    <row r="150" customFormat="false" ht="15" hidden="false" customHeight="false" outlineLevel="0" collapsed="false">
      <c r="A150" s="2" t="n">
        <v>149</v>
      </c>
      <c r="B150" s="2" t="n">
        <f aca="false">INT((A150-1)/3)+1</f>
        <v>50</v>
      </c>
      <c r="C150" s="3" t="n">
        <v>50</v>
      </c>
      <c r="D150" s="2" t="s">
        <v>89</v>
      </c>
      <c r="E150" s="2" t="s">
        <v>18</v>
      </c>
      <c r="F150" s="2" t="str">
        <f aca="false">TEXT(G150,"ddd")</f>
        <v>Mon</v>
      </c>
      <c r="G150" s="4" t="n">
        <f aca="false">Settings!$B$4+(B150-1)*Settings!$B$11+INDEX(Settings!$B$7:$B$9,MATCH(E150,Settings!$A$7:$A$9,0))</f>
        <v>46664</v>
      </c>
      <c r="H150" s="5" t="n">
        <f aca="false">G150-G149</f>
        <v>3</v>
      </c>
      <c r="I150" s="6" t="s">
        <v>88</v>
      </c>
      <c r="J150" s="2" t="s">
        <v>19</v>
      </c>
      <c r="K150" s="2"/>
      <c r="L150" s="2"/>
    </row>
    <row r="151" customFormat="false" ht="15" hidden="false" customHeight="false" outlineLevel="0" collapsed="false">
      <c r="A151" s="2" t="n">
        <v>150</v>
      </c>
      <c r="B151" s="2" t="n">
        <f aca="false">INT((A151-1)/3)+1</f>
        <v>50</v>
      </c>
      <c r="C151" s="3" t="n">
        <v>50</v>
      </c>
      <c r="D151" s="2" t="s">
        <v>89</v>
      </c>
      <c r="E151" s="2" t="s">
        <v>20</v>
      </c>
      <c r="F151" s="2" t="str">
        <f aca="false">TEXT(G151,"ddd")</f>
        <v>Wed</v>
      </c>
      <c r="G151" s="4" t="n">
        <f aca="false">Settings!$B$4+(B151-1)*Settings!$B$11+INDEX(Settings!$B$7:$B$9,MATCH(E151,Settings!$A$7:$A$9,0))</f>
        <v>46666</v>
      </c>
      <c r="H151" s="5" t="n">
        <f aca="false">G151-G150</f>
        <v>2</v>
      </c>
      <c r="I151" s="6" t="s">
        <v>88</v>
      </c>
      <c r="J151" s="2" t="s">
        <v>19</v>
      </c>
      <c r="K151" s="2"/>
      <c r="L151" s="2"/>
    </row>
    <row r="152" customFormat="false" ht="15" hidden="false" customHeight="false" outlineLevel="0" collapsed="false">
      <c r="A152" s="2" t="n">
        <v>151</v>
      </c>
      <c r="B152" s="2" t="n">
        <f aca="false">INT((A152-1)/3)+1</f>
        <v>51</v>
      </c>
      <c r="C152" s="3" t="n">
        <v>51</v>
      </c>
      <c r="D152" s="2" t="s">
        <v>90</v>
      </c>
      <c r="E152" s="2" t="s">
        <v>13</v>
      </c>
      <c r="F152" s="2" t="str">
        <f aca="false">TEXT(G152,"ddd")</f>
        <v>Fri</v>
      </c>
      <c r="G152" s="4" t="n">
        <f aca="false">Settings!$B$4+(B152-1)*Settings!$B$11+INDEX(Settings!$B$7:$B$9,MATCH(E152,Settings!$A$7:$A$9,0))</f>
        <v>46668</v>
      </c>
      <c r="H152" s="5" t="n">
        <f aca="false">G152-G151</f>
        <v>2</v>
      </c>
      <c r="I152" s="6" t="s">
        <v>88</v>
      </c>
      <c r="J152" s="2" t="s">
        <v>19</v>
      </c>
      <c r="K152" s="2"/>
      <c r="L152" s="2"/>
    </row>
    <row r="153" customFormat="false" ht="15" hidden="false" customHeight="false" outlineLevel="0" collapsed="false">
      <c r="A153" s="2" t="n">
        <v>152</v>
      </c>
      <c r="B153" s="2" t="n">
        <f aca="false">INT((A153-1)/3)+1</f>
        <v>51</v>
      </c>
      <c r="C153" s="3" t="n">
        <v>51</v>
      </c>
      <c r="D153" s="2" t="s">
        <v>90</v>
      </c>
      <c r="E153" s="2" t="s">
        <v>18</v>
      </c>
      <c r="F153" s="2" t="str">
        <f aca="false">TEXT(G153,"ddd")</f>
        <v>Mon</v>
      </c>
      <c r="G153" s="4" t="n">
        <f aca="false">Settings!$B$4+(B153-1)*Settings!$B$11+INDEX(Settings!$B$7:$B$9,MATCH(E153,Settings!$A$7:$A$9,0))</f>
        <v>46671</v>
      </c>
      <c r="H153" s="5" t="n">
        <f aca="false">G153-G152</f>
        <v>3</v>
      </c>
      <c r="I153" s="6" t="s">
        <v>88</v>
      </c>
      <c r="J153" s="2" t="s">
        <v>19</v>
      </c>
      <c r="K153" s="2"/>
      <c r="L153" s="2"/>
    </row>
    <row r="154" customFormat="false" ht="15" hidden="false" customHeight="false" outlineLevel="0" collapsed="false">
      <c r="A154" s="2" t="n">
        <v>153</v>
      </c>
      <c r="B154" s="2" t="n">
        <f aca="false">INT((A154-1)/3)+1</f>
        <v>51</v>
      </c>
      <c r="C154" s="3" t="n">
        <v>51</v>
      </c>
      <c r="D154" s="2" t="s">
        <v>90</v>
      </c>
      <c r="E154" s="2" t="s">
        <v>20</v>
      </c>
      <c r="F154" s="2" t="str">
        <f aca="false">TEXT(G154,"ddd")</f>
        <v>Wed</v>
      </c>
      <c r="G154" s="4" t="n">
        <f aca="false">Settings!$B$4+(B154-1)*Settings!$B$11+INDEX(Settings!$B$7:$B$9,MATCH(E154,Settings!$A$7:$A$9,0))</f>
        <v>46673</v>
      </c>
      <c r="H154" s="5" t="n">
        <f aca="false">G154-G153</f>
        <v>2</v>
      </c>
      <c r="I154" s="6" t="s">
        <v>88</v>
      </c>
      <c r="J154" s="2" t="s">
        <v>19</v>
      </c>
      <c r="K154" s="2"/>
      <c r="L154" s="2"/>
    </row>
    <row r="155" customFormat="false" ht="15" hidden="false" customHeight="false" outlineLevel="0" collapsed="false">
      <c r="A155" s="2" t="n">
        <v>154</v>
      </c>
      <c r="B155" s="2" t="n">
        <f aca="false">INT((A155-1)/3)+1</f>
        <v>52</v>
      </c>
      <c r="C155" s="3" t="n">
        <v>52</v>
      </c>
      <c r="D155" s="2" t="s">
        <v>91</v>
      </c>
      <c r="E155" s="2" t="s">
        <v>13</v>
      </c>
      <c r="F155" s="2" t="str">
        <f aca="false">TEXT(G155,"ddd")</f>
        <v>Fri</v>
      </c>
      <c r="G155" s="4" t="n">
        <f aca="false">Settings!$B$4+(B155-1)*Settings!$B$11+INDEX(Settings!$B$7:$B$9,MATCH(E155,Settings!$A$7:$A$9,0))</f>
        <v>46675</v>
      </c>
      <c r="H155" s="5" t="n">
        <f aca="false">G155-G154</f>
        <v>2</v>
      </c>
      <c r="I155" s="6" t="s">
        <v>92</v>
      </c>
      <c r="J155" s="2" t="s">
        <v>19</v>
      </c>
      <c r="K155" s="2"/>
      <c r="L155" s="2"/>
    </row>
    <row r="156" customFormat="false" ht="15" hidden="false" customHeight="false" outlineLevel="0" collapsed="false">
      <c r="A156" s="2" t="n">
        <v>155</v>
      </c>
      <c r="B156" s="2" t="n">
        <f aca="false">INT((A156-1)/3)+1</f>
        <v>52</v>
      </c>
      <c r="C156" s="3" t="n">
        <v>52</v>
      </c>
      <c r="D156" s="2" t="s">
        <v>91</v>
      </c>
      <c r="E156" s="2" t="s">
        <v>18</v>
      </c>
      <c r="F156" s="2" t="str">
        <f aca="false">TEXT(G156,"ddd")</f>
        <v>Mon</v>
      </c>
      <c r="G156" s="4" t="n">
        <f aca="false">Settings!$B$4+(B156-1)*Settings!$B$11+INDEX(Settings!$B$7:$B$9,MATCH(E156,Settings!$A$7:$A$9,0))</f>
        <v>46678</v>
      </c>
      <c r="H156" s="5" t="n">
        <f aca="false">G156-G155</f>
        <v>3</v>
      </c>
      <c r="I156" s="6" t="s">
        <v>92</v>
      </c>
      <c r="J156" s="2" t="s">
        <v>19</v>
      </c>
      <c r="K156" s="2"/>
      <c r="L156" s="2"/>
    </row>
    <row r="157" customFormat="false" ht="15" hidden="false" customHeight="false" outlineLevel="0" collapsed="false">
      <c r="A157" s="2" t="n">
        <v>156</v>
      </c>
      <c r="B157" s="2" t="n">
        <f aca="false">INT((A157-1)/3)+1</f>
        <v>52</v>
      </c>
      <c r="C157" s="3" t="n">
        <v>52</v>
      </c>
      <c r="D157" s="2" t="s">
        <v>91</v>
      </c>
      <c r="E157" s="2" t="s">
        <v>20</v>
      </c>
      <c r="F157" s="2" t="str">
        <f aca="false">TEXT(G157,"ddd")</f>
        <v>Wed</v>
      </c>
      <c r="G157" s="4" t="n">
        <f aca="false">Settings!$B$4+(B157-1)*Settings!$B$11+INDEX(Settings!$B$7:$B$9,MATCH(E157,Settings!$A$7:$A$9,0))</f>
        <v>46680</v>
      </c>
      <c r="H157" s="5" t="n">
        <f aca="false">G157-G156</f>
        <v>2</v>
      </c>
      <c r="I157" s="6" t="s">
        <v>92</v>
      </c>
      <c r="J157" s="2" t="s">
        <v>19</v>
      </c>
      <c r="K157" s="2"/>
      <c r="L157" s="2"/>
    </row>
    <row r="158" customFormat="false" ht="15" hidden="false" customHeight="false" outlineLevel="0" collapsed="false">
      <c r="A158" s="2" t="n">
        <v>157</v>
      </c>
      <c r="B158" s="2" t="n">
        <f aca="false">INT((A158-1)/3)+1</f>
        <v>53</v>
      </c>
      <c r="C158" s="3" t="n">
        <v>53</v>
      </c>
      <c r="D158" s="2" t="s">
        <v>93</v>
      </c>
      <c r="E158" s="2" t="s">
        <v>13</v>
      </c>
      <c r="F158" s="2" t="str">
        <f aca="false">TEXT(G158,"ddd")</f>
        <v>Fri</v>
      </c>
      <c r="G158" s="4" t="n">
        <f aca="false">Settings!$B$4+(B158-1)*Settings!$B$11+INDEX(Settings!$B$7:$B$9,MATCH(E158,Settings!$A$7:$A$9,0))</f>
        <v>46682</v>
      </c>
      <c r="H158" s="5" t="n">
        <f aca="false">G158-G157</f>
        <v>2</v>
      </c>
      <c r="I158" s="6" t="s">
        <v>92</v>
      </c>
      <c r="J158" s="2" t="s">
        <v>19</v>
      </c>
      <c r="K158" s="2"/>
      <c r="L158" s="2"/>
    </row>
    <row r="159" customFormat="false" ht="15" hidden="false" customHeight="false" outlineLevel="0" collapsed="false">
      <c r="A159" s="2" t="n">
        <v>158</v>
      </c>
      <c r="B159" s="2" t="n">
        <f aca="false">INT((A159-1)/3)+1</f>
        <v>53</v>
      </c>
      <c r="C159" s="3" t="n">
        <v>53</v>
      </c>
      <c r="D159" s="2" t="s">
        <v>93</v>
      </c>
      <c r="E159" s="2" t="s">
        <v>18</v>
      </c>
      <c r="F159" s="2" t="str">
        <f aca="false">TEXT(G159,"ddd")</f>
        <v>Mon</v>
      </c>
      <c r="G159" s="4" t="n">
        <f aca="false">Settings!$B$4+(B159-1)*Settings!$B$11+INDEX(Settings!$B$7:$B$9,MATCH(E159,Settings!$A$7:$A$9,0))</f>
        <v>46685</v>
      </c>
      <c r="H159" s="5" t="n">
        <f aca="false">G159-G158</f>
        <v>3</v>
      </c>
      <c r="I159" s="6" t="s">
        <v>92</v>
      </c>
      <c r="J159" s="2" t="s">
        <v>19</v>
      </c>
      <c r="K159" s="2"/>
      <c r="L159" s="2"/>
    </row>
    <row r="160" customFormat="false" ht="15" hidden="false" customHeight="false" outlineLevel="0" collapsed="false">
      <c r="A160" s="2" t="n">
        <v>159</v>
      </c>
      <c r="B160" s="2" t="n">
        <f aca="false">INT((A160-1)/3)+1</f>
        <v>53</v>
      </c>
      <c r="C160" s="3" t="n">
        <v>53</v>
      </c>
      <c r="D160" s="2" t="s">
        <v>93</v>
      </c>
      <c r="E160" s="2" t="s">
        <v>20</v>
      </c>
      <c r="F160" s="2" t="str">
        <f aca="false">TEXT(G160,"ddd")</f>
        <v>Wed</v>
      </c>
      <c r="G160" s="4" t="n">
        <f aca="false">Settings!$B$4+(B160-1)*Settings!$B$11+INDEX(Settings!$B$7:$B$9,MATCH(E160,Settings!$A$7:$A$9,0))</f>
        <v>46687</v>
      </c>
      <c r="H160" s="5" t="n">
        <f aca="false">G160-G159</f>
        <v>2</v>
      </c>
      <c r="I160" s="6" t="s">
        <v>92</v>
      </c>
      <c r="J160" s="2" t="s">
        <v>19</v>
      </c>
      <c r="K160" s="2"/>
      <c r="L160" s="2"/>
    </row>
    <row r="161" customFormat="false" ht="15" hidden="false" customHeight="false" outlineLevel="0" collapsed="false">
      <c r="A161" s="2" t="n">
        <v>160</v>
      </c>
      <c r="B161" s="2" t="n">
        <f aca="false">INT((A161-1)/3)+1</f>
        <v>54</v>
      </c>
      <c r="C161" s="3" t="n">
        <v>54</v>
      </c>
      <c r="D161" s="2" t="s">
        <v>94</v>
      </c>
      <c r="E161" s="2" t="s">
        <v>13</v>
      </c>
      <c r="F161" s="2" t="str">
        <f aca="false">TEXT(G161,"ddd")</f>
        <v>Fri</v>
      </c>
      <c r="G161" s="4" t="n">
        <f aca="false">Settings!$B$4+(B161-1)*Settings!$B$11+INDEX(Settings!$B$7:$B$9,MATCH(E161,Settings!$A$7:$A$9,0))</f>
        <v>46689</v>
      </c>
      <c r="H161" s="5" t="n">
        <f aca="false">G161-G160</f>
        <v>2</v>
      </c>
      <c r="I161" s="6" t="s">
        <v>92</v>
      </c>
      <c r="J161" s="2" t="s">
        <v>19</v>
      </c>
      <c r="K161" s="2"/>
      <c r="L161" s="2"/>
    </row>
    <row r="162" customFormat="false" ht="15" hidden="false" customHeight="false" outlineLevel="0" collapsed="false">
      <c r="A162" s="2" t="n">
        <v>161</v>
      </c>
      <c r="B162" s="2" t="n">
        <f aca="false">INT((A162-1)/3)+1</f>
        <v>54</v>
      </c>
      <c r="C162" s="3" t="n">
        <v>54</v>
      </c>
      <c r="D162" s="2" t="s">
        <v>94</v>
      </c>
      <c r="E162" s="2" t="s">
        <v>18</v>
      </c>
      <c r="F162" s="2" t="str">
        <f aca="false">TEXT(G162,"ddd")</f>
        <v>Mon</v>
      </c>
      <c r="G162" s="4" t="n">
        <f aca="false">Settings!$B$4+(B162-1)*Settings!$B$11+INDEX(Settings!$B$7:$B$9,MATCH(E162,Settings!$A$7:$A$9,0))</f>
        <v>46692</v>
      </c>
      <c r="H162" s="5" t="n">
        <f aca="false">G162-G161</f>
        <v>3</v>
      </c>
      <c r="I162" s="6" t="s">
        <v>92</v>
      </c>
      <c r="J162" s="2" t="s">
        <v>19</v>
      </c>
      <c r="K162" s="2"/>
      <c r="L162" s="2"/>
    </row>
    <row r="163" customFormat="false" ht="15" hidden="false" customHeight="false" outlineLevel="0" collapsed="false">
      <c r="A163" s="2" t="n">
        <v>162</v>
      </c>
      <c r="B163" s="2" t="n">
        <f aca="false">INT((A163-1)/3)+1</f>
        <v>54</v>
      </c>
      <c r="C163" s="3" t="n">
        <v>54</v>
      </c>
      <c r="D163" s="2" t="s">
        <v>94</v>
      </c>
      <c r="E163" s="2" t="s">
        <v>20</v>
      </c>
      <c r="F163" s="2" t="str">
        <f aca="false">TEXT(G163,"ddd")</f>
        <v>Wed</v>
      </c>
      <c r="G163" s="4" t="n">
        <f aca="false">Settings!$B$4+(B163-1)*Settings!$B$11+INDEX(Settings!$B$7:$B$9,MATCH(E163,Settings!$A$7:$A$9,0))</f>
        <v>46694</v>
      </c>
      <c r="H163" s="5" t="n">
        <f aca="false">G163-G162</f>
        <v>2</v>
      </c>
      <c r="I163" s="6" t="s">
        <v>92</v>
      </c>
      <c r="J163" s="2" t="s">
        <v>19</v>
      </c>
      <c r="K163" s="2"/>
      <c r="L163" s="2"/>
    </row>
    <row r="164" customFormat="false" ht="15" hidden="false" customHeight="false" outlineLevel="0" collapsed="false">
      <c r="A164" s="2" t="n">
        <v>163</v>
      </c>
      <c r="B164" s="2" t="n">
        <f aca="false">INT((A164-1)/3)+1</f>
        <v>55</v>
      </c>
      <c r="C164" s="3" t="n">
        <v>55</v>
      </c>
      <c r="D164" s="2" t="s">
        <v>95</v>
      </c>
      <c r="E164" s="2" t="s">
        <v>13</v>
      </c>
      <c r="F164" s="2" t="str">
        <f aca="false">TEXT(G164,"ddd")</f>
        <v>Fri</v>
      </c>
      <c r="G164" s="4" t="n">
        <f aca="false">Settings!$B$4+(B164-1)*Settings!$B$11+INDEX(Settings!$B$7:$B$9,MATCH(E164,Settings!$A$7:$A$9,0))</f>
        <v>46696</v>
      </c>
      <c r="H164" s="5" t="n">
        <f aca="false">G164-G163</f>
        <v>2</v>
      </c>
      <c r="I164" s="6" t="s">
        <v>96</v>
      </c>
      <c r="J164" s="2" t="s">
        <v>19</v>
      </c>
      <c r="K164" s="2"/>
      <c r="L164" s="2"/>
    </row>
    <row r="165" customFormat="false" ht="15" hidden="false" customHeight="false" outlineLevel="0" collapsed="false">
      <c r="A165" s="2" t="n">
        <v>164</v>
      </c>
      <c r="B165" s="2" t="n">
        <f aca="false">INT((A165-1)/3)+1</f>
        <v>55</v>
      </c>
      <c r="C165" s="3" t="n">
        <v>55</v>
      </c>
      <c r="D165" s="2" t="s">
        <v>95</v>
      </c>
      <c r="E165" s="2" t="s">
        <v>18</v>
      </c>
      <c r="F165" s="2" t="str">
        <f aca="false">TEXT(G165,"ddd")</f>
        <v>Mon</v>
      </c>
      <c r="G165" s="4" t="n">
        <f aca="false">Settings!$B$4+(B165-1)*Settings!$B$11+INDEX(Settings!$B$7:$B$9,MATCH(E165,Settings!$A$7:$A$9,0))</f>
        <v>46699</v>
      </c>
      <c r="H165" s="5" t="n">
        <f aca="false">G165-G164</f>
        <v>3</v>
      </c>
      <c r="I165" s="6" t="s">
        <v>96</v>
      </c>
      <c r="J165" s="2" t="s">
        <v>19</v>
      </c>
      <c r="K165" s="2"/>
      <c r="L165" s="2"/>
    </row>
    <row r="166" customFormat="false" ht="15" hidden="false" customHeight="false" outlineLevel="0" collapsed="false">
      <c r="A166" s="2" t="n">
        <v>165</v>
      </c>
      <c r="B166" s="2" t="n">
        <f aca="false">INT((A166-1)/3)+1</f>
        <v>55</v>
      </c>
      <c r="C166" s="3" t="n">
        <v>55</v>
      </c>
      <c r="D166" s="2" t="s">
        <v>95</v>
      </c>
      <c r="E166" s="2" t="s">
        <v>20</v>
      </c>
      <c r="F166" s="2" t="str">
        <f aca="false">TEXT(G166,"ddd")</f>
        <v>Wed</v>
      </c>
      <c r="G166" s="4" t="n">
        <f aca="false">Settings!$B$4+(B166-1)*Settings!$B$11+INDEX(Settings!$B$7:$B$9,MATCH(E166,Settings!$A$7:$A$9,0))</f>
        <v>46701</v>
      </c>
      <c r="H166" s="5" t="n">
        <f aca="false">G166-G165</f>
        <v>2</v>
      </c>
      <c r="I166" s="6" t="s">
        <v>96</v>
      </c>
      <c r="J166" s="2" t="s">
        <v>19</v>
      </c>
      <c r="K166" s="2"/>
      <c r="L166" s="2"/>
    </row>
    <row r="167" customFormat="false" ht="15" hidden="false" customHeight="false" outlineLevel="0" collapsed="false">
      <c r="A167" s="2" t="n">
        <v>166</v>
      </c>
      <c r="B167" s="2" t="n">
        <f aca="false">INT((A167-1)/3)+1</f>
        <v>56</v>
      </c>
      <c r="C167" s="3" t="n">
        <v>56</v>
      </c>
      <c r="D167" s="2" t="s">
        <v>97</v>
      </c>
      <c r="E167" s="2" t="s">
        <v>13</v>
      </c>
      <c r="F167" s="2" t="str">
        <f aca="false">TEXT(G167,"ddd")</f>
        <v>Fri</v>
      </c>
      <c r="G167" s="4" t="n">
        <f aca="false">Settings!$B$4+(B167-1)*Settings!$B$11+INDEX(Settings!$B$7:$B$9,MATCH(E167,Settings!$A$7:$A$9,0))</f>
        <v>46703</v>
      </c>
      <c r="H167" s="5" t="n">
        <f aca="false">G167-G166</f>
        <v>2</v>
      </c>
      <c r="I167" s="6" t="s">
        <v>96</v>
      </c>
      <c r="J167" s="2" t="s">
        <v>19</v>
      </c>
      <c r="K167" s="2"/>
      <c r="L167" s="2"/>
    </row>
    <row r="168" customFormat="false" ht="15" hidden="false" customHeight="false" outlineLevel="0" collapsed="false">
      <c r="A168" s="2" t="n">
        <v>167</v>
      </c>
      <c r="B168" s="2" t="n">
        <f aca="false">INT((A168-1)/3)+1</f>
        <v>56</v>
      </c>
      <c r="C168" s="3" t="n">
        <v>56</v>
      </c>
      <c r="D168" s="2" t="s">
        <v>97</v>
      </c>
      <c r="E168" s="2" t="s">
        <v>18</v>
      </c>
      <c r="F168" s="2" t="str">
        <f aca="false">TEXT(G168,"ddd")</f>
        <v>Mon</v>
      </c>
      <c r="G168" s="4" t="n">
        <f aca="false">Settings!$B$4+(B168-1)*Settings!$B$11+INDEX(Settings!$B$7:$B$9,MATCH(E168,Settings!$A$7:$A$9,0))</f>
        <v>46706</v>
      </c>
      <c r="H168" s="5" t="n">
        <f aca="false">G168-G167</f>
        <v>3</v>
      </c>
      <c r="I168" s="6" t="s">
        <v>96</v>
      </c>
      <c r="J168" s="2" t="s">
        <v>19</v>
      </c>
      <c r="K168" s="2"/>
      <c r="L168" s="2"/>
    </row>
    <row r="169" customFormat="false" ht="15" hidden="false" customHeight="false" outlineLevel="0" collapsed="false">
      <c r="A169" s="2" t="n">
        <v>168</v>
      </c>
      <c r="B169" s="2" t="n">
        <f aca="false">INT((A169-1)/3)+1</f>
        <v>56</v>
      </c>
      <c r="C169" s="3" t="n">
        <v>56</v>
      </c>
      <c r="D169" s="2" t="s">
        <v>97</v>
      </c>
      <c r="E169" s="2" t="s">
        <v>20</v>
      </c>
      <c r="F169" s="2" t="str">
        <f aca="false">TEXT(G169,"ddd")</f>
        <v>Wed</v>
      </c>
      <c r="G169" s="4" t="n">
        <f aca="false">Settings!$B$4+(B169-1)*Settings!$B$11+INDEX(Settings!$B$7:$B$9,MATCH(E169,Settings!$A$7:$A$9,0))</f>
        <v>46708</v>
      </c>
      <c r="H169" s="5" t="n">
        <f aca="false">G169-G168</f>
        <v>2</v>
      </c>
      <c r="I169" s="6" t="s">
        <v>96</v>
      </c>
      <c r="J169" s="2" t="s">
        <v>19</v>
      </c>
      <c r="K169" s="2"/>
      <c r="L169" s="2"/>
    </row>
    <row r="170" customFormat="false" ht="15" hidden="false" customHeight="false" outlineLevel="0" collapsed="false">
      <c r="A170" s="2" t="n">
        <v>169</v>
      </c>
      <c r="B170" s="2" t="n">
        <f aca="false">INT((A170-1)/3)+1</f>
        <v>57</v>
      </c>
      <c r="C170" s="3" t="n">
        <v>57</v>
      </c>
      <c r="D170" s="2" t="s">
        <v>98</v>
      </c>
      <c r="E170" s="2" t="s">
        <v>13</v>
      </c>
      <c r="F170" s="2" t="str">
        <f aca="false">TEXT(G170,"ddd")</f>
        <v>Fri</v>
      </c>
      <c r="G170" s="4" t="n">
        <f aca="false">Settings!$B$4+(B170-1)*Settings!$B$11+INDEX(Settings!$B$7:$B$9,MATCH(E170,Settings!$A$7:$A$9,0))</f>
        <v>46710</v>
      </c>
      <c r="H170" s="5" t="n">
        <f aca="false">G170-G169</f>
        <v>2</v>
      </c>
      <c r="I170" s="6" t="s">
        <v>96</v>
      </c>
      <c r="J170" s="2" t="s">
        <v>19</v>
      </c>
      <c r="K170" s="2"/>
      <c r="L170" s="2"/>
    </row>
    <row r="171" customFormat="false" ht="15" hidden="false" customHeight="false" outlineLevel="0" collapsed="false">
      <c r="A171" s="2" t="n">
        <v>170</v>
      </c>
      <c r="B171" s="2" t="n">
        <f aca="false">INT((A171-1)/3)+1</f>
        <v>57</v>
      </c>
      <c r="C171" s="3" t="n">
        <v>57</v>
      </c>
      <c r="D171" s="2" t="s">
        <v>98</v>
      </c>
      <c r="E171" s="2" t="s">
        <v>18</v>
      </c>
      <c r="F171" s="2" t="str">
        <f aca="false">TEXT(G171,"ddd")</f>
        <v>Mon</v>
      </c>
      <c r="G171" s="4" t="n">
        <f aca="false">Settings!$B$4+(B171-1)*Settings!$B$11+INDEX(Settings!$B$7:$B$9,MATCH(E171,Settings!$A$7:$A$9,0))</f>
        <v>46713</v>
      </c>
      <c r="H171" s="5" t="n">
        <f aca="false">G171-G170</f>
        <v>3</v>
      </c>
      <c r="I171" s="6" t="s">
        <v>96</v>
      </c>
      <c r="J171" s="2" t="s">
        <v>19</v>
      </c>
      <c r="K171" s="2"/>
      <c r="L171" s="2"/>
    </row>
    <row r="172" customFormat="false" ht="15" hidden="false" customHeight="false" outlineLevel="0" collapsed="false">
      <c r="A172" s="2" t="n">
        <v>171</v>
      </c>
      <c r="B172" s="2" t="n">
        <f aca="false">INT((A172-1)/3)+1</f>
        <v>57</v>
      </c>
      <c r="C172" s="3" t="n">
        <v>57</v>
      </c>
      <c r="D172" s="2" t="s">
        <v>98</v>
      </c>
      <c r="E172" s="2" t="s">
        <v>20</v>
      </c>
      <c r="F172" s="2" t="str">
        <f aca="false">TEXT(G172,"ddd")</f>
        <v>Wed</v>
      </c>
      <c r="G172" s="4" t="n">
        <f aca="false">Settings!$B$4+(B172-1)*Settings!$B$11+INDEX(Settings!$B$7:$B$9,MATCH(E172,Settings!$A$7:$A$9,0))</f>
        <v>46715</v>
      </c>
      <c r="H172" s="5" t="n">
        <f aca="false">G172-G171</f>
        <v>2</v>
      </c>
      <c r="I172" s="6" t="s">
        <v>96</v>
      </c>
      <c r="J172" s="2" t="s">
        <v>19</v>
      </c>
      <c r="K172" s="2"/>
      <c r="L172" s="2"/>
    </row>
    <row r="173" customFormat="false" ht="15" hidden="false" customHeight="false" outlineLevel="0" collapsed="false">
      <c r="A173" s="2" t="n">
        <v>172</v>
      </c>
      <c r="B173" s="2" t="n">
        <f aca="false">INT((A173-1)/3)+1</f>
        <v>58</v>
      </c>
      <c r="C173" s="3" t="n">
        <v>58</v>
      </c>
      <c r="D173" s="2" t="s">
        <v>99</v>
      </c>
      <c r="E173" s="2" t="s">
        <v>13</v>
      </c>
      <c r="F173" s="2" t="str">
        <f aca="false">TEXT(G173,"ddd")</f>
        <v>Fri</v>
      </c>
      <c r="G173" s="4" t="n">
        <f aca="false">Settings!$B$4+(B173-1)*Settings!$B$11+INDEX(Settings!$B$7:$B$9,MATCH(E173,Settings!$A$7:$A$9,0))</f>
        <v>46717</v>
      </c>
      <c r="H173" s="5" t="n">
        <f aca="false">G173-G172</f>
        <v>2</v>
      </c>
      <c r="I173" s="6" t="s">
        <v>96</v>
      </c>
      <c r="J173" s="2" t="s">
        <v>19</v>
      </c>
      <c r="K173" s="2"/>
      <c r="L173" s="2"/>
    </row>
    <row r="174" customFormat="false" ht="15" hidden="false" customHeight="false" outlineLevel="0" collapsed="false">
      <c r="A174" s="2" t="n">
        <v>173</v>
      </c>
      <c r="B174" s="2" t="n">
        <f aca="false">INT((A174-1)/3)+1</f>
        <v>58</v>
      </c>
      <c r="C174" s="3" t="n">
        <v>58</v>
      </c>
      <c r="D174" s="2" t="s">
        <v>99</v>
      </c>
      <c r="E174" s="2" t="s">
        <v>18</v>
      </c>
      <c r="F174" s="2" t="str">
        <f aca="false">TEXT(G174,"ddd")</f>
        <v>Mon</v>
      </c>
      <c r="G174" s="4" t="n">
        <f aca="false">Settings!$B$4+(B174-1)*Settings!$B$11+INDEX(Settings!$B$7:$B$9,MATCH(E174,Settings!$A$7:$A$9,0))</f>
        <v>46720</v>
      </c>
      <c r="H174" s="5" t="n">
        <f aca="false">G174-G173</f>
        <v>3</v>
      </c>
      <c r="I174" s="6" t="s">
        <v>96</v>
      </c>
      <c r="J174" s="2" t="s">
        <v>19</v>
      </c>
      <c r="K174" s="2"/>
      <c r="L174" s="2"/>
    </row>
    <row r="175" customFormat="false" ht="15" hidden="false" customHeight="false" outlineLevel="0" collapsed="false">
      <c r="A175" s="2" t="n">
        <v>174</v>
      </c>
      <c r="B175" s="2" t="n">
        <f aca="false">INT((A175-1)/3)+1</f>
        <v>58</v>
      </c>
      <c r="C175" s="3" t="n">
        <v>58</v>
      </c>
      <c r="D175" s="2" t="s">
        <v>99</v>
      </c>
      <c r="E175" s="2" t="s">
        <v>20</v>
      </c>
      <c r="F175" s="2" t="str">
        <f aca="false">TEXT(G175,"ddd")</f>
        <v>Wed</v>
      </c>
      <c r="G175" s="4" t="n">
        <f aca="false">Settings!$B$4+(B175-1)*Settings!$B$11+INDEX(Settings!$B$7:$B$9,MATCH(E175,Settings!$A$7:$A$9,0))</f>
        <v>46722</v>
      </c>
      <c r="H175" s="5" t="n">
        <f aca="false">G175-G174</f>
        <v>2</v>
      </c>
      <c r="I175" s="6" t="s">
        <v>96</v>
      </c>
      <c r="J175" s="2" t="s">
        <v>19</v>
      </c>
      <c r="K175" s="2"/>
      <c r="L175" s="2"/>
    </row>
    <row r="176" customFormat="false" ht="15" hidden="false" customHeight="false" outlineLevel="0" collapsed="false">
      <c r="A176" s="2" t="n">
        <v>175</v>
      </c>
      <c r="B176" s="2" t="n">
        <f aca="false">INT((A176-1)/3)+1</f>
        <v>59</v>
      </c>
      <c r="C176" s="3" t="n">
        <v>59</v>
      </c>
      <c r="D176" s="2" t="s">
        <v>100</v>
      </c>
      <c r="E176" s="2" t="s">
        <v>13</v>
      </c>
      <c r="F176" s="2" t="str">
        <f aca="false">TEXT(G176,"ddd")</f>
        <v>Fri</v>
      </c>
      <c r="G176" s="4" t="n">
        <f aca="false">Settings!$B$4+(B176-1)*Settings!$B$11+INDEX(Settings!$B$7:$B$9,MATCH(E176,Settings!$A$7:$A$9,0))</f>
        <v>46724</v>
      </c>
      <c r="H176" s="5" t="n">
        <f aca="false">G176-G175</f>
        <v>2</v>
      </c>
      <c r="I176" s="6" t="s">
        <v>101</v>
      </c>
      <c r="J176" s="2" t="s">
        <v>19</v>
      </c>
      <c r="K176" s="2"/>
      <c r="L176" s="2"/>
    </row>
    <row r="177" customFormat="false" ht="15" hidden="false" customHeight="false" outlineLevel="0" collapsed="false">
      <c r="A177" s="2" t="n">
        <v>176</v>
      </c>
      <c r="B177" s="2" t="n">
        <f aca="false">INT((A177-1)/3)+1</f>
        <v>59</v>
      </c>
      <c r="C177" s="3" t="n">
        <v>59</v>
      </c>
      <c r="D177" s="2" t="s">
        <v>100</v>
      </c>
      <c r="E177" s="2" t="s">
        <v>18</v>
      </c>
      <c r="F177" s="2" t="str">
        <f aca="false">TEXT(G177,"ddd")</f>
        <v>Mon</v>
      </c>
      <c r="G177" s="4" t="n">
        <f aca="false">Settings!$B$4+(B177-1)*Settings!$B$11+INDEX(Settings!$B$7:$B$9,MATCH(E177,Settings!$A$7:$A$9,0))</f>
        <v>46727</v>
      </c>
      <c r="H177" s="5" t="n">
        <f aca="false">G177-G176</f>
        <v>3</v>
      </c>
      <c r="I177" s="6" t="s">
        <v>101</v>
      </c>
      <c r="J177" s="2" t="s">
        <v>19</v>
      </c>
      <c r="K177" s="2"/>
      <c r="L177" s="2"/>
    </row>
    <row r="178" customFormat="false" ht="15" hidden="false" customHeight="false" outlineLevel="0" collapsed="false">
      <c r="A178" s="2" t="n">
        <v>177</v>
      </c>
      <c r="B178" s="2" t="n">
        <f aca="false">INT((A178-1)/3)+1</f>
        <v>59</v>
      </c>
      <c r="C178" s="3" t="n">
        <v>59</v>
      </c>
      <c r="D178" s="2" t="s">
        <v>100</v>
      </c>
      <c r="E178" s="2" t="s">
        <v>20</v>
      </c>
      <c r="F178" s="2" t="str">
        <f aca="false">TEXT(G178,"ddd")</f>
        <v>Wed</v>
      </c>
      <c r="G178" s="4" t="n">
        <f aca="false">Settings!$B$4+(B178-1)*Settings!$B$11+INDEX(Settings!$B$7:$B$9,MATCH(E178,Settings!$A$7:$A$9,0))</f>
        <v>46729</v>
      </c>
      <c r="H178" s="5" t="n">
        <f aca="false">G178-G177</f>
        <v>2</v>
      </c>
      <c r="I178" s="6" t="s">
        <v>101</v>
      </c>
      <c r="J178" s="2" t="s">
        <v>19</v>
      </c>
      <c r="K178" s="2"/>
      <c r="L178" s="2"/>
    </row>
    <row r="179" customFormat="false" ht="15" hidden="false" customHeight="false" outlineLevel="0" collapsed="false">
      <c r="A179" s="2" t="n">
        <v>178</v>
      </c>
      <c r="B179" s="2" t="n">
        <f aca="false">INT((A179-1)/3)+1</f>
        <v>60</v>
      </c>
      <c r="C179" s="3" t="n">
        <v>60</v>
      </c>
      <c r="D179" s="2" t="s">
        <v>102</v>
      </c>
      <c r="E179" s="2" t="s">
        <v>13</v>
      </c>
      <c r="F179" s="2" t="str">
        <f aca="false">TEXT(G179,"ddd")</f>
        <v>Fri</v>
      </c>
      <c r="G179" s="4" t="n">
        <f aca="false">Settings!$B$4+(B179-1)*Settings!$B$11+INDEX(Settings!$B$7:$B$9,MATCH(E179,Settings!$A$7:$A$9,0))</f>
        <v>46731</v>
      </c>
      <c r="H179" s="5" t="n">
        <f aca="false">G179-G178</f>
        <v>2</v>
      </c>
      <c r="I179" s="6" t="s">
        <v>101</v>
      </c>
      <c r="J179" s="2" t="s">
        <v>19</v>
      </c>
      <c r="K179" s="2"/>
      <c r="L179" s="2"/>
    </row>
    <row r="180" customFormat="false" ht="15" hidden="false" customHeight="false" outlineLevel="0" collapsed="false">
      <c r="A180" s="2" t="n">
        <v>179</v>
      </c>
      <c r="B180" s="2" t="n">
        <f aca="false">INT((A180-1)/3)+1</f>
        <v>60</v>
      </c>
      <c r="C180" s="3" t="n">
        <v>60</v>
      </c>
      <c r="D180" s="2" t="s">
        <v>102</v>
      </c>
      <c r="E180" s="2" t="s">
        <v>18</v>
      </c>
      <c r="F180" s="2" t="str">
        <f aca="false">TEXT(G180,"ddd")</f>
        <v>Mon</v>
      </c>
      <c r="G180" s="4" t="n">
        <f aca="false">Settings!$B$4+(B180-1)*Settings!$B$11+INDEX(Settings!$B$7:$B$9,MATCH(E180,Settings!$A$7:$A$9,0))</f>
        <v>46734</v>
      </c>
      <c r="H180" s="5" t="n">
        <f aca="false">G180-G179</f>
        <v>3</v>
      </c>
      <c r="I180" s="6" t="s">
        <v>101</v>
      </c>
      <c r="J180" s="2" t="s">
        <v>19</v>
      </c>
      <c r="K180" s="2"/>
      <c r="L180" s="2"/>
    </row>
    <row r="181" customFormat="false" ht="15" hidden="false" customHeight="false" outlineLevel="0" collapsed="false">
      <c r="A181" s="2" t="n">
        <v>180</v>
      </c>
      <c r="B181" s="2" t="n">
        <f aca="false">INT((A181-1)/3)+1</f>
        <v>60</v>
      </c>
      <c r="C181" s="3" t="n">
        <v>60</v>
      </c>
      <c r="D181" s="2" t="s">
        <v>102</v>
      </c>
      <c r="E181" s="2" t="s">
        <v>20</v>
      </c>
      <c r="F181" s="2" t="str">
        <f aca="false">TEXT(G181,"ddd")</f>
        <v>Wed</v>
      </c>
      <c r="G181" s="4" t="n">
        <f aca="false">Settings!$B$4+(B181-1)*Settings!$B$11+INDEX(Settings!$B$7:$B$9,MATCH(E181,Settings!$A$7:$A$9,0))</f>
        <v>46736</v>
      </c>
      <c r="H181" s="5" t="n">
        <f aca="false">G181-G180</f>
        <v>2</v>
      </c>
      <c r="I181" s="6" t="s">
        <v>101</v>
      </c>
      <c r="J181" s="2" t="s">
        <v>19</v>
      </c>
      <c r="K181" s="2"/>
      <c r="L181" s="2"/>
    </row>
    <row r="182" customFormat="false" ht="15" hidden="false" customHeight="false" outlineLevel="0" collapsed="false">
      <c r="A182" s="2" t="n">
        <v>181</v>
      </c>
      <c r="B182" s="2" t="n">
        <f aca="false">INT((A182-1)/3)+1</f>
        <v>61</v>
      </c>
      <c r="C182" s="3" t="n">
        <v>61</v>
      </c>
      <c r="D182" s="2" t="s">
        <v>103</v>
      </c>
      <c r="E182" s="2" t="s">
        <v>13</v>
      </c>
      <c r="F182" s="2" t="str">
        <f aca="false">TEXT(G182,"ddd")</f>
        <v>Fri</v>
      </c>
      <c r="G182" s="4" t="n">
        <f aca="false">Settings!$B$4+(B182-1)*Settings!$B$11+INDEX(Settings!$B$7:$B$9,MATCH(E182,Settings!$A$7:$A$9,0))</f>
        <v>46738</v>
      </c>
      <c r="H182" s="5" t="n">
        <f aca="false">G182-G181</f>
        <v>2</v>
      </c>
      <c r="I182" s="6" t="s">
        <v>101</v>
      </c>
      <c r="J182" s="2" t="s">
        <v>19</v>
      </c>
      <c r="K182" s="2"/>
      <c r="L182" s="2"/>
    </row>
    <row r="183" customFormat="false" ht="15" hidden="false" customHeight="false" outlineLevel="0" collapsed="false">
      <c r="A183" s="2" t="n">
        <v>182</v>
      </c>
      <c r="B183" s="2" t="n">
        <f aca="false">INT((A183-1)/3)+1</f>
        <v>61</v>
      </c>
      <c r="C183" s="3" t="n">
        <v>61</v>
      </c>
      <c r="D183" s="2" t="s">
        <v>103</v>
      </c>
      <c r="E183" s="2" t="s">
        <v>18</v>
      </c>
      <c r="F183" s="2" t="str">
        <f aca="false">TEXT(G183,"ddd")</f>
        <v>Mon</v>
      </c>
      <c r="G183" s="4" t="n">
        <f aca="false">Settings!$B$4+(B183-1)*Settings!$B$11+INDEX(Settings!$B$7:$B$9,MATCH(E183,Settings!$A$7:$A$9,0))</f>
        <v>46741</v>
      </c>
      <c r="H183" s="5" t="n">
        <f aca="false">G183-G182</f>
        <v>3</v>
      </c>
      <c r="I183" s="6" t="s">
        <v>101</v>
      </c>
      <c r="J183" s="2" t="s">
        <v>19</v>
      </c>
      <c r="K183" s="2"/>
      <c r="L183" s="2"/>
    </row>
    <row r="184" customFormat="false" ht="15" hidden="false" customHeight="false" outlineLevel="0" collapsed="false">
      <c r="A184" s="2" t="n">
        <v>183</v>
      </c>
      <c r="B184" s="2" t="n">
        <f aca="false">INT((A184-1)/3)+1</f>
        <v>61</v>
      </c>
      <c r="C184" s="3" t="n">
        <v>61</v>
      </c>
      <c r="D184" s="2" t="s">
        <v>103</v>
      </c>
      <c r="E184" s="2" t="s">
        <v>20</v>
      </c>
      <c r="F184" s="2" t="str">
        <f aca="false">TEXT(G184,"ddd")</f>
        <v>Wed</v>
      </c>
      <c r="G184" s="4" t="n">
        <f aca="false">Settings!$B$4+(B184-1)*Settings!$B$11+INDEX(Settings!$B$7:$B$9,MATCH(E184,Settings!$A$7:$A$9,0))</f>
        <v>46743</v>
      </c>
      <c r="H184" s="5" t="n">
        <f aca="false">G184-G183</f>
        <v>2</v>
      </c>
      <c r="I184" s="6" t="s">
        <v>101</v>
      </c>
      <c r="J184" s="2" t="s">
        <v>19</v>
      </c>
      <c r="K184" s="2"/>
      <c r="L184" s="2"/>
    </row>
    <row r="185" customFormat="false" ht="15" hidden="false" customHeight="false" outlineLevel="0" collapsed="false">
      <c r="A185" s="2" t="n">
        <v>184</v>
      </c>
      <c r="B185" s="2" t="n">
        <f aca="false">INT((A185-1)/3)+1</f>
        <v>62</v>
      </c>
      <c r="C185" s="3" t="n">
        <v>62</v>
      </c>
      <c r="D185" s="2" t="s">
        <v>104</v>
      </c>
      <c r="E185" s="2" t="s">
        <v>13</v>
      </c>
      <c r="F185" s="2" t="str">
        <f aca="false">TEXT(G185,"ddd")</f>
        <v>Fri</v>
      </c>
      <c r="G185" s="4" t="n">
        <f aca="false">Settings!$B$4+(B185-1)*Settings!$B$11+INDEX(Settings!$B$7:$B$9,MATCH(E185,Settings!$A$7:$A$9,0))</f>
        <v>46745</v>
      </c>
      <c r="H185" s="5" t="n">
        <f aca="false">G185-G184</f>
        <v>2</v>
      </c>
      <c r="I185" s="6" t="s">
        <v>101</v>
      </c>
      <c r="J185" s="2" t="s">
        <v>19</v>
      </c>
      <c r="K185" s="2"/>
      <c r="L185" s="2"/>
    </row>
    <row r="186" customFormat="false" ht="15" hidden="false" customHeight="false" outlineLevel="0" collapsed="false">
      <c r="A186" s="2" t="n">
        <v>185</v>
      </c>
      <c r="B186" s="2" t="n">
        <f aca="false">INT((A186-1)/3)+1</f>
        <v>62</v>
      </c>
      <c r="C186" s="3" t="n">
        <v>62</v>
      </c>
      <c r="D186" s="2" t="s">
        <v>104</v>
      </c>
      <c r="E186" s="2" t="s">
        <v>18</v>
      </c>
      <c r="F186" s="2" t="str">
        <f aca="false">TEXT(G186,"ddd")</f>
        <v>Mon</v>
      </c>
      <c r="G186" s="4" t="n">
        <f aca="false">Settings!$B$4+(B186-1)*Settings!$B$11+INDEX(Settings!$B$7:$B$9,MATCH(E186,Settings!$A$7:$A$9,0))</f>
        <v>46748</v>
      </c>
      <c r="H186" s="5" t="n">
        <f aca="false">G186-G185</f>
        <v>3</v>
      </c>
      <c r="I186" s="6" t="s">
        <v>101</v>
      </c>
      <c r="J186" s="2" t="s">
        <v>19</v>
      </c>
      <c r="K186" s="2"/>
      <c r="L186" s="2"/>
    </row>
    <row r="187" customFormat="false" ht="15" hidden="false" customHeight="false" outlineLevel="0" collapsed="false">
      <c r="A187" s="2" t="n">
        <v>186</v>
      </c>
      <c r="B187" s="2" t="n">
        <f aca="false">INT((A187-1)/3)+1</f>
        <v>62</v>
      </c>
      <c r="C187" s="3" t="n">
        <v>62</v>
      </c>
      <c r="D187" s="2" t="s">
        <v>104</v>
      </c>
      <c r="E187" s="2" t="s">
        <v>20</v>
      </c>
      <c r="F187" s="2" t="str">
        <f aca="false">TEXT(G187,"ddd")</f>
        <v>Wed</v>
      </c>
      <c r="G187" s="4" t="n">
        <f aca="false">Settings!$B$4+(B187-1)*Settings!$B$11+INDEX(Settings!$B$7:$B$9,MATCH(E187,Settings!$A$7:$A$9,0))</f>
        <v>46750</v>
      </c>
      <c r="H187" s="5" t="n">
        <f aca="false">G187-G186</f>
        <v>2</v>
      </c>
      <c r="I187" s="6" t="s">
        <v>101</v>
      </c>
      <c r="J187" s="2" t="s">
        <v>19</v>
      </c>
      <c r="K187" s="2"/>
      <c r="L187" s="2"/>
    </row>
    <row r="188" customFormat="false" ht="15" hidden="false" customHeight="false" outlineLevel="0" collapsed="false">
      <c r="A188" s="2" t="n">
        <v>187</v>
      </c>
      <c r="B188" s="2" t="n">
        <f aca="false">INT((A188-1)/3)+1</f>
        <v>63</v>
      </c>
      <c r="C188" s="3" t="n">
        <v>63</v>
      </c>
      <c r="D188" s="2" t="s">
        <v>105</v>
      </c>
      <c r="E188" s="2" t="s">
        <v>13</v>
      </c>
      <c r="F188" s="2" t="str">
        <f aca="false">TEXT(G188,"ddd")</f>
        <v>Fri</v>
      </c>
      <c r="G188" s="4" t="n">
        <f aca="false">Settings!$B$4+(B188-1)*Settings!$B$11+INDEX(Settings!$B$7:$B$9,MATCH(E188,Settings!$A$7:$A$9,0))</f>
        <v>46752</v>
      </c>
      <c r="H188" s="5" t="n">
        <f aca="false">G188-G187</f>
        <v>2</v>
      </c>
      <c r="I188" s="6" t="s">
        <v>106</v>
      </c>
      <c r="J188" s="2" t="s">
        <v>19</v>
      </c>
      <c r="K188" s="2"/>
      <c r="L188" s="2"/>
    </row>
    <row r="189" customFormat="false" ht="15" hidden="false" customHeight="false" outlineLevel="0" collapsed="false">
      <c r="A189" s="2" t="n">
        <v>188</v>
      </c>
      <c r="B189" s="2" t="n">
        <f aca="false">INT((A189-1)/3)+1</f>
        <v>63</v>
      </c>
      <c r="C189" s="3" t="n">
        <v>63</v>
      </c>
      <c r="D189" s="2" t="s">
        <v>105</v>
      </c>
      <c r="E189" s="2" t="s">
        <v>18</v>
      </c>
      <c r="F189" s="2" t="str">
        <f aca="false">TEXT(G189,"ddd")</f>
        <v>Mon</v>
      </c>
      <c r="G189" s="4" t="n">
        <f aca="false">Settings!$B$4+(B189-1)*Settings!$B$11+INDEX(Settings!$B$7:$B$9,MATCH(E189,Settings!$A$7:$A$9,0))</f>
        <v>46755</v>
      </c>
      <c r="H189" s="5" t="n">
        <f aca="false">G189-G188</f>
        <v>3</v>
      </c>
      <c r="I189" s="6" t="s">
        <v>106</v>
      </c>
      <c r="J189" s="2" t="s">
        <v>19</v>
      </c>
      <c r="K189" s="2"/>
      <c r="L189" s="2"/>
    </row>
    <row r="190" customFormat="false" ht="15" hidden="false" customHeight="false" outlineLevel="0" collapsed="false">
      <c r="A190" s="2" t="n">
        <v>189</v>
      </c>
      <c r="B190" s="2" t="n">
        <f aca="false">INT((A190-1)/3)+1</f>
        <v>63</v>
      </c>
      <c r="C190" s="3" t="n">
        <v>63</v>
      </c>
      <c r="D190" s="2" t="s">
        <v>105</v>
      </c>
      <c r="E190" s="2" t="s">
        <v>20</v>
      </c>
      <c r="F190" s="2" t="str">
        <f aca="false">TEXT(G190,"ddd")</f>
        <v>Wed</v>
      </c>
      <c r="G190" s="4" t="n">
        <f aca="false">Settings!$B$4+(B190-1)*Settings!$B$11+INDEX(Settings!$B$7:$B$9,MATCH(E190,Settings!$A$7:$A$9,0))</f>
        <v>46757</v>
      </c>
      <c r="H190" s="5" t="n">
        <f aca="false">G190-G189</f>
        <v>2</v>
      </c>
      <c r="I190" s="6" t="s">
        <v>106</v>
      </c>
      <c r="J190" s="2" t="s">
        <v>19</v>
      </c>
      <c r="K190" s="2"/>
      <c r="L190" s="2"/>
    </row>
    <row r="191" customFormat="false" ht="15" hidden="false" customHeight="false" outlineLevel="0" collapsed="false">
      <c r="A191" s="2" t="n">
        <v>190</v>
      </c>
      <c r="B191" s="2" t="n">
        <f aca="false">INT((A191-1)/3)+1</f>
        <v>64</v>
      </c>
      <c r="C191" s="3" t="n">
        <v>64</v>
      </c>
      <c r="D191" s="2" t="s">
        <v>107</v>
      </c>
      <c r="E191" s="2" t="s">
        <v>13</v>
      </c>
      <c r="F191" s="2" t="str">
        <f aca="false">TEXT(G191,"ddd")</f>
        <v>Fri</v>
      </c>
      <c r="G191" s="4" t="n">
        <f aca="false">Settings!$B$4+(B191-1)*Settings!$B$11+INDEX(Settings!$B$7:$B$9,MATCH(E191,Settings!$A$7:$A$9,0))</f>
        <v>46759</v>
      </c>
      <c r="H191" s="5" t="n">
        <f aca="false">G191-G190</f>
        <v>2</v>
      </c>
      <c r="I191" s="6" t="s">
        <v>106</v>
      </c>
      <c r="J191" s="2" t="s">
        <v>19</v>
      </c>
      <c r="K191" s="2"/>
      <c r="L191" s="2"/>
    </row>
    <row r="192" customFormat="false" ht="15" hidden="false" customHeight="false" outlineLevel="0" collapsed="false">
      <c r="A192" s="2" t="n">
        <v>191</v>
      </c>
      <c r="B192" s="2" t="n">
        <f aca="false">INT((A192-1)/3)+1</f>
        <v>64</v>
      </c>
      <c r="C192" s="3" t="n">
        <v>64</v>
      </c>
      <c r="D192" s="2" t="s">
        <v>107</v>
      </c>
      <c r="E192" s="2" t="s">
        <v>18</v>
      </c>
      <c r="F192" s="2" t="str">
        <f aca="false">TEXT(G192,"ddd")</f>
        <v>Mon</v>
      </c>
      <c r="G192" s="4" t="n">
        <f aca="false">Settings!$B$4+(B192-1)*Settings!$B$11+INDEX(Settings!$B$7:$B$9,MATCH(E192,Settings!$A$7:$A$9,0))</f>
        <v>46762</v>
      </c>
      <c r="H192" s="5" t="n">
        <f aca="false">G192-G191</f>
        <v>3</v>
      </c>
      <c r="I192" s="6" t="s">
        <v>106</v>
      </c>
      <c r="J192" s="2" t="s">
        <v>19</v>
      </c>
      <c r="K192" s="2"/>
      <c r="L192" s="2"/>
    </row>
    <row r="193" customFormat="false" ht="15" hidden="false" customHeight="false" outlineLevel="0" collapsed="false">
      <c r="A193" s="2" t="n">
        <v>192</v>
      </c>
      <c r="B193" s="2" t="n">
        <f aca="false">INT((A193-1)/3)+1</f>
        <v>64</v>
      </c>
      <c r="C193" s="3" t="n">
        <v>64</v>
      </c>
      <c r="D193" s="2" t="s">
        <v>107</v>
      </c>
      <c r="E193" s="2" t="s">
        <v>20</v>
      </c>
      <c r="F193" s="2" t="str">
        <f aca="false">TEXT(G193,"ddd")</f>
        <v>Wed</v>
      </c>
      <c r="G193" s="4" t="n">
        <f aca="false">Settings!$B$4+(B193-1)*Settings!$B$11+INDEX(Settings!$B$7:$B$9,MATCH(E193,Settings!$A$7:$A$9,0))</f>
        <v>46764</v>
      </c>
      <c r="H193" s="5" t="n">
        <f aca="false">G193-G192</f>
        <v>2</v>
      </c>
      <c r="I193" s="6" t="s">
        <v>106</v>
      </c>
      <c r="J193" s="2" t="s">
        <v>19</v>
      </c>
      <c r="K193" s="2"/>
      <c r="L193" s="2"/>
    </row>
    <row r="194" customFormat="false" ht="15" hidden="false" customHeight="false" outlineLevel="0" collapsed="false">
      <c r="A194" s="2" t="n">
        <v>193</v>
      </c>
      <c r="B194" s="2" t="n">
        <f aca="false">INT((A194-1)/3)+1</f>
        <v>65</v>
      </c>
      <c r="C194" s="3" t="n">
        <v>65</v>
      </c>
      <c r="D194" s="2" t="s">
        <v>108</v>
      </c>
      <c r="E194" s="2" t="s">
        <v>13</v>
      </c>
      <c r="F194" s="2" t="str">
        <f aca="false">TEXT(G194,"ddd")</f>
        <v>Fri</v>
      </c>
      <c r="G194" s="4" t="n">
        <f aca="false">Settings!$B$4+(B194-1)*Settings!$B$11+INDEX(Settings!$B$7:$B$9,MATCH(E194,Settings!$A$7:$A$9,0))</f>
        <v>46766</v>
      </c>
      <c r="H194" s="5" t="n">
        <f aca="false">G194-G193</f>
        <v>2</v>
      </c>
      <c r="I194" s="6" t="s">
        <v>106</v>
      </c>
      <c r="J194" s="2" t="s">
        <v>19</v>
      </c>
      <c r="K194" s="2"/>
      <c r="L194" s="2"/>
    </row>
    <row r="195" customFormat="false" ht="15" hidden="false" customHeight="false" outlineLevel="0" collapsed="false">
      <c r="A195" s="2" t="n">
        <v>194</v>
      </c>
      <c r="B195" s="2" t="n">
        <f aca="false">INT((A195-1)/3)+1</f>
        <v>65</v>
      </c>
      <c r="C195" s="3" t="n">
        <v>65</v>
      </c>
      <c r="D195" s="2" t="s">
        <v>108</v>
      </c>
      <c r="E195" s="2" t="s">
        <v>18</v>
      </c>
      <c r="F195" s="2" t="str">
        <f aca="false">TEXT(G195,"ddd")</f>
        <v>Mon</v>
      </c>
      <c r="G195" s="4" t="n">
        <f aca="false">Settings!$B$4+(B195-1)*Settings!$B$11+INDEX(Settings!$B$7:$B$9,MATCH(E195,Settings!$A$7:$A$9,0))</f>
        <v>46769</v>
      </c>
      <c r="H195" s="5" t="n">
        <f aca="false">G195-G194</f>
        <v>3</v>
      </c>
      <c r="I195" s="6" t="s">
        <v>106</v>
      </c>
      <c r="J195" s="2" t="s">
        <v>19</v>
      </c>
      <c r="K195" s="2"/>
      <c r="L195" s="2"/>
    </row>
    <row r="196" customFormat="false" ht="15" hidden="false" customHeight="false" outlineLevel="0" collapsed="false">
      <c r="A196" s="2" t="n">
        <v>195</v>
      </c>
      <c r="B196" s="2" t="n">
        <f aca="false">INT((A196-1)/3)+1</f>
        <v>65</v>
      </c>
      <c r="C196" s="3" t="n">
        <v>65</v>
      </c>
      <c r="D196" s="2" t="s">
        <v>108</v>
      </c>
      <c r="E196" s="2" t="s">
        <v>20</v>
      </c>
      <c r="F196" s="2" t="str">
        <f aca="false">TEXT(G196,"ddd")</f>
        <v>Wed</v>
      </c>
      <c r="G196" s="4" t="n">
        <f aca="false">Settings!$B$4+(B196-1)*Settings!$B$11+INDEX(Settings!$B$7:$B$9,MATCH(E196,Settings!$A$7:$A$9,0))</f>
        <v>46771</v>
      </c>
      <c r="H196" s="5" t="n">
        <f aca="false">G196-G195</f>
        <v>2</v>
      </c>
      <c r="I196" s="6" t="s">
        <v>106</v>
      </c>
      <c r="J196" s="2" t="s">
        <v>19</v>
      </c>
      <c r="K196" s="2"/>
      <c r="L196" s="2"/>
    </row>
    <row r="197" customFormat="false" ht="15" hidden="false" customHeight="false" outlineLevel="0" collapsed="false">
      <c r="A197" s="2" t="n">
        <v>196</v>
      </c>
      <c r="B197" s="2" t="n">
        <f aca="false">INT((A197-1)/3)+1</f>
        <v>66</v>
      </c>
      <c r="C197" s="3" t="n">
        <v>66</v>
      </c>
      <c r="D197" s="2" t="s">
        <v>109</v>
      </c>
      <c r="E197" s="2" t="s">
        <v>13</v>
      </c>
      <c r="F197" s="2" t="str">
        <f aca="false">TEXT(G197,"ddd")</f>
        <v>Fri</v>
      </c>
      <c r="G197" s="4" t="n">
        <f aca="false">Settings!$B$4+(B197-1)*Settings!$B$11+INDEX(Settings!$B$7:$B$9,MATCH(E197,Settings!$A$7:$A$9,0))</f>
        <v>46773</v>
      </c>
      <c r="H197" s="5" t="n">
        <f aca="false">G197-G196</f>
        <v>2</v>
      </c>
      <c r="I197" s="6" t="s">
        <v>106</v>
      </c>
      <c r="J197" s="2" t="s">
        <v>19</v>
      </c>
      <c r="K197" s="2"/>
      <c r="L197" s="2"/>
    </row>
    <row r="198" customFormat="false" ht="15" hidden="false" customHeight="false" outlineLevel="0" collapsed="false">
      <c r="A198" s="2" t="n">
        <v>197</v>
      </c>
      <c r="B198" s="2" t="n">
        <f aca="false">INT((A198-1)/3)+1</f>
        <v>66</v>
      </c>
      <c r="C198" s="3" t="n">
        <v>66</v>
      </c>
      <c r="D198" s="2" t="s">
        <v>109</v>
      </c>
      <c r="E198" s="2" t="s">
        <v>18</v>
      </c>
      <c r="F198" s="2" t="str">
        <f aca="false">TEXT(G198,"ddd")</f>
        <v>Mon</v>
      </c>
      <c r="G198" s="4" t="n">
        <f aca="false">Settings!$B$4+(B198-1)*Settings!$B$11+INDEX(Settings!$B$7:$B$9,MATCH(E198,Settings!$A$7:$A$9,0))</f>
        <v>46776</v>
      </c>
      <c r="H198" s="5" t="n">
        <f aca="false">G198-G197</f>
        <v>3</v>
      </c>
      <c r="I198" s="6" t="s">
        <v>106</v>
      </c>
      <c r="J198" s="2" t="s">
        <v>19</v>
      </c>
      <c r="K198" s="2"/>
      <c r="L198" s="2"/>
    </row>
    <row r="199" customFormat="false" ht="15" hidden="false" customHeight="false" outlineLevel="0" collapsed="false">
      <c r="A199" s="2" t="n">
        <v>198</v>
      </c>
      <c r="B199" s="2" t="n">
        <f aca="false">INT((A199-1)/3)+1</f>
        <v>66</v>
      </c>
      <c r="C199" s="3" t="n">
        <v>66</v>
      </c>
      <c r="D199" s="2" t="s">
        <v>109</v>
      </c>
      <c r="E199" s="2" t="s">
        <v>20</v>
      </c>
      <c r="F199" s="2" t="str">
        <f aca="false">TEXT(G199,"ddd")</f>
        <v>Wed</v>
      </c>
      <c r="G199" s="4" t="n">
        <f aca="false">Settings!$B$4+(B199-1)*Settings!$B$11+INDEX(Settings!$B$7:$B$9,MATCH(E199,Settings!$A$7:$A$9,0))</f>
        <v>46778</v>
      </c>
      <c r="H199" s="5" t="n">
        <f aca="false">G199-G198</f>
        <v>2</v>
      </c>
      <c r="I199" s="6" t="s">
        <v>106</v>
      </c>
      <c r="J199" s="2" t="s">
        <v>19</v>
      </c>
      <c r="K199" s="2"/>
      <c r="L199" s="2"/>
    </row>
    <row r="200" customFormat="false" ht="15" hidden="false" customHeight="false" outlineLevel="0" collapsed="false">
      <c r="A200" s="2" t="n">
        <v>199</v>
      </c>
      <c r="B200" s="2" t="n">
        <f aca="false">INT((A200-1)/3)+1</f>
        <v>67</v>
      </c>
      <c r="C200" s="3" t="n">
        <v>67</v>
      </c>
      <c r="D200" s="2" t="s">
        <v>110</v>
      </c>
      <c r="E200" s="2" t="s">
        <v>13</v>
      </c>
      <c r="F200" s="2" t="str">
        <f aca="false">TEXT(G200,"ddd")</f>
        <v>Fri</v>
      </c>
      <c r="G200" s="4" t="n">
        <f aca="false">Settings!$B$4+(B200-1)*Settings!$B$11+INDEX(Settings!$B$7:$B$9,MATCH(E200,Settings!$A$7:$A$9,0))</f>
        <v>46780</v>
      </c>
      <c r="H200" s="5" t="n">
        <f aca="false">G200-G199</f>
        <v>2</v>
      </c>
      <c r="I200" s="6" t="s">
        <v>111</v>
      </c>
      <c r="J200" s="2" t="s">
        <v>19</v>
      </c>
      <c r="K200" s="2"/>
      <c r="L200" s="2"/>
    </row>
    <row r="201" customFormat="false" ht="15" hidden="false" customHeight="false" outlineLevel="0" collapsed="false">
      <c r="A201" s="2" t="n">
        <v>200</v>
      </c>
      <c r="B201" s="2" t="n">
        <f aca="false">INT((A201-1)/3)+1</f>
        <v>67</v>
      </c>
      <c r="C201" s="3" t="n">
        <v>67</v>
      </c>
      <c r="D201" s="2" t="s">
        <v>110</v>
      </c>
      <c r="E201" s="2" t="s">
        <v>18</v>
      </c>
      <c r="F201" s="2" t="str">
        <f aca="false">TEXT(G201,"ddd")</f>
        <v>Mon</v>
      </c>
      <c r="G201" s="4" t="n">
        <f aca="false">Settings!$B$4+(B201-1)*Settings!$B$11+INDEX(Settings!$B$7:$B$9,MATCH(E201,Settings!$A$7:$A$9,0))</f>
        <v>46783</v>
      </c>
      <c r="H201" s="5" t="n">
        <f aca="false">G201-G200</f>
        <v>3</v>
      </c>
      <c r="I201" s="6" t="s">
        <v>111</v>
      </c>
      <c r="J201" s="2" t="s">
        <v>19</v>
      </c>
      <c r="K201" s="2"/>
      <c r="L201" s="2"/>
    </row>
    <row r="202" customFormat="false" ht="15" hidden="false" customHeight="false" outlineLevel="0" collapsed="false">
      <c r="A202" s="2" t="n">
        <v>201</v>
      </c>
      <c r="B202" s="2" t="n">
        <f aca="false">INT((A202-1)/3)+1</f>
        <v>67</v>
      </c>
      <c r="C202" s="3" t="n">
        <v>67</v>
      </c>
      <c r="D202" s="2" t="s">
        <v>110</v>
      </c>
      <c r="E202" s="2" t="s">
        <v>20</v>
      </c>
      <c r="F202" s="2" t="str">
        <f aca="false">TEXT(G202,"ddd")</f>
        <v>Wed</v>
      </c>
      <c r="G202" s="4" t="n">
        <f aca="false">Settings!$B$4+(B202-1)*Settings!$B$11+INDEX(Settings!$B$7:$B$9,MATCH(E202,Settings!$A$7:$A$9,0))</f>
        <v>46785</v>
      </c>
      <c r="H202" s="5" t="n">
        <f aca="false">G202-G201</f>
        <v>2</v>
      </c>
      <c r="I202" s="6" t="s">
        <v>111</v>
      </c>
      <c r="J202" s="2" t="s">
        <v>19</v>
      </c>
      <c r="K202" s="2"/>
      <c r="L202" s="2"/>
    </row>
    <row r="203" customFormat="false" ht="15" hidden="false" customHeight="false" outlineLevel="0" collapsed="false">
      <c r="A203" s="2" t="n">
        <v>202</v>
      </c>
      <c r="B203" s="2" t="n">
        <f aca="false">INT((A203-1)/3)+1</f>
        <v>68</v>
      </c>
      <c r="C203" s="3" t="n">
        <v>68</v>
      </c>
      <c r="D203" s="2" t="s">
        <v>112</v>
      </c>
      <c r="E203" s="2" t="s">
        <v>13</v>
      </c>
      <c r="F203" s="2" t="str">
        <f aca="false">TEXT(G203,"ddd")</f>
        <v>Fri</v>
      </c>
      <c r="G203" s="4" t="n">
        <f aca="false">Settings!$B$4+(B203-1)*Settings!$B$11+INDEX(Settings!$B$7:$B$9,MATCH(E203,Settings!$A$7:$A$9,0))</f>
        <v>46787</v>
      </c>
      <c r="H203" s="5" t="n">
        <f aca="false">G203-G202</f>
        <v>2</v>
      </c>
      <c r="I203" s="6" t="s">
        <v>111</v>
      </c>
      <c r="J203" s="2" t="s">
        <v>19</v>
      </c>
      <c r="K203" s="2"/>
      <c r="L203" s="2"/>
    </row>
    <row r="204" customFormat="false" ht="15" hidden="false" customHeight="false" outlineLevel="0" collapsed="false">
      <c r="A204" s="2" t="n">
        <v>203</v>
      </c>
      <c r="B204" s="2" t="n">
        <f aca="false">INT((A204-1)/3)+1</f>
        <v>68</v>
      </c>
      <c r="C204" s="3" t="n">
        <v>68</v>
      </c>
      <c r="D204" s="2" t="s">
        <v>112</v>
      </c>
      <c r="E204" s="2" t="s">
        <v>18</v>
      </c>
      <c r="F204" s="2" t="str">
        <f aca="false">TEXT(G204,"ddd")</f>
        <v>Mon</v>
      </c>
      <c r="G204" s="4" t="n">
        <f aca="false">Settings!$B$4+(B204-1)*Settings!$B$11+INDEX(Settings!$B$7:$B$9,MATCH(E204,Settings!$A$7:$A$9,0))</f>
        <v>46790</v>
      </c>
      <c r="H204" s="5" t="n">
        <f aca="false">G204-G203</f>
        <v>3</v>
      </c>
      <c r="I204" s="6" t="s">
        <v>111</v>
      </c>
      <c r="J204" s="2" t="s">
        <v>19</v>
      </c>
      <c r="K204" s="2"/>
      <c r="L204" s="2"/>
    </row>
    <row r="205" customFormat="false" ht="15" hidden="false" customHeight="false" outlineLevel="0" collapsed="false">
      <c r="A205" s="2" t="n">
        <v>204</v>
      </c>
      <c r="B205" s="2" t="n">
        <f aca="false">INT((A205-1)/3)+1</f>
        <v>68</v>
      </c>
      <c r="C205" s="3" t="n">
        <v>68</v>
      </c>
      <c r="D205" s="2" t="s">
        <v>112</v>
      </c>
      <c r="E205" s="2" t="s">
        <v>20</v>
      </c>
      <c r="F205" s="2" t="str">
        <f aca="false">TEXT(G205,"ddd")</f>
        <v>Wed</v>
      </c>
      <c r="G205" s="4" t="n">
        <f aca="false">Settings!$B$4+(B205-1)*Settings!$B$11+INDEX(Settings!$B$7:$B$9,MATCH(E205,Settings!$A$7:$A$9,0))</f>
        <v>46792</v>
      </c>
      <c r="H205" s="5" t="n">
        <f aca="false">G205-G204</f>
        <v>2</v>
      </c>
      <c r="I205" s="6" t="s">
        <v>111</v>
      </c>
      <c r="J205" s="2" t="s">
        <v>19</v>
      </c>
      <c r="K205" s="2"/>
      <c r="L205" s="2"/>
    </row>
    <row r="206" customFormat="false" ht="15" hidden="false" customHeight="false" outlineLevel="0" collapsed="false">
      <c r="A206" s="2" t="n">
        <v>205</v>
      </c>
      <c r="B206" s="2" t="n">
        <f aca="false">INT((A206-1)/3)+1</f>
        <v>69</v>
      </c>
      <c r="C206" s="3" t="n">
        <v>69</v>
      </c>
      <c r="D206" s="2" t="s">
        <v>113</v>
      </c>
      <c r="E206" s="2" t="s">
        <v>13</v>
      </c>
      <c r="F206" s="2" t="str">
        <f aca="false">TEXT(G206,"ddd")</f>
        <v>Fri</v>
      </c>
      <c r="G206" s="4" t="n">
        <f aca="false">Settings!$B$4+(B206-1)*Settings!$B$11+INDEX(Settings!$B$7:$B$9,MATCH(E206,Settings!$A$7:$A$9,0))</f>
        <v>46794</v>
      </c>
      <c r="H206" s="5" t="n">
        <f aca="false">G206-G205</f>
        <v>2</v>
      </c>
      <c r="I206" s="6" t="s">
        <v>111</v>
      </c>
      <c r="J206" s="2" t="s">
        <v>19</v>
      </c>
      <c r="K206" s="2"/>
      <c r="L206" s="2"/>
    </row>
    <row r="207" customFormat="false" ht="15" hidden="false" customHeight="false" outlineLevel="0" collapsed="false">
      <c r="A207" s="2" t="n">
        <v>206</v>
      </c>
      <c r="B207" s="2" t="n">
        <f aca="false">INT((A207-1)/3)+1</f>
        <v>69</v>
      </c>
      <c r="C207" s="3" t="n">
        <v>69</v>
      </c>
      <c r="D207" s="2" t="s">
        <v>113</v>
      </c>
      <c r="E207" s="2" t="s">
        <v>18</v>
      </c>
      <c r="F207" s="2" t="str">
        <f aca="false">TEXT(G207,"ddd")</f>
        <v>Mon</v>
      </c>
      <c r="G207" s="4" t="n">
        <f aca="false">Settings!$B$4+(B207-1)*Settings!$B$11+INDEX(Settings!$B$7:$B$9,MATCH(E207,Settings!$A$7:$A$9,0))</f>
        <v>46797</v>
      </c>
      <c r="H207" s="5" t="n">
        <f aca="false">G207-G206</f>
        <v>3</v>
      </c>
      <c r="I207" s="6" t="s">
        <v>111</v>
      </c>
      <c r="J207" s="2" t="s">
        <v>19</v>
      </c>
      <c r="K207" s="2"/>
      <c r="L207" s="2"/>
    </row>
    <row r="208" customFormat="false" ht="15" hidden="false" customHeight="false" outlineLevel="0" collapsed="false">
      <c r="A208" s="2" t="n">
        <v>207</v>
      </c>
      <c r="B208" s="2" t="n">
        <f aca="false">INT((A208-1)/3)+1</f>
        <v>69</v>
      </c>
      <c r="C208" s="3" t="n">
        <v>69</v>
      </c>
      <c r="D208" s="2" t="s">
        <v>113</v>
      </c>
      <c r="E208" s="2" t="s">
        <v>20</v>
      </c>
      <c r="F208" s="2" t="str">
        <f aca="false">TEXT(G208,"ddd")</f>
        <v>Wed</v>
      </c>
      <c r="G208" s="4" t="n">
        <f aca="false">Settings!$B$4+(B208-1)*Settings!$B$11+INDEX(Settings!$B$7:$B$9,MATCH(E208,Settings!$A$7:$A$9,0))</f>
        <v>46799</v>
      </c>
      <c r="H208" s="5" t="n">
        <f aca="false">G208-G207</f>
        <v>2</v>
      </c>
      <c r="I208" s="6" t="s">
        <v>111</v>
      </c>
      <c r="J208" s="2" t="s">
        <v>19</v>
      </c>
      <c r="K208" s="2"/>
      <c r="L208" s="2"/>
    </row>
    <row r="209" customFormat="false" ht="15" hidden="false" customHeight="false" outlineLevel="0" collapsed="false">
      <c r="A209" s="2" t="n">
        <v>208</v>
      </c>
      <c r="B209" s="2" t="n">
        <f aca="false">INT((A209-1)/3)+1</f>
        <v>70</v>
      </c>
      <c r="C209" s="3" t="n">
        <v>70</v>
      </c>
      <c r="D209" s="2" t="s">
        <v>114</v>
      </c>
      <c r="E209" s="2" t="s">
        <v>13</v>
      </c>
      <c r="F209" s="2" t="str">
        <f aca="false">TEXT(G209,"ddd")</f>
        <v>Fri</v>
      </c>
      <c r="G209" s="4" t="n">
        <f aca="false">Settings!$B$4+(B209-1)*Settings!$B$11+INDEX(Settings!$B$7:$B$9,MATCH(E209,Settings!$A$7:$A$9,0))</f>
        <v>46801</v>
      </c>
      <c r="H209" s="5" t="n">
        <f aca="false">G209-G208</f>
        <v>2</v>
      </c>
      <c r="I209" s="6" t="s">
        <v>115</v>
      </c>
      <c r="J209" s="2" t="s">
        <v>19</v>
      </c>
      <c r="K209" s="2"/>
      <c r="L209" s="2"/>
    </row>
    <row r="210" customFormat="false" ht="15" hidden="false" customHeight="false" outlineLevel="0" collapsed="false">
      <c r="A210" s="2" t="n">
        <v>209</v>
      </c>
      <c r="B210" s="2" t="n">
        <f aca="false">INT((A210-1)/3)+1</f>
        <v>70</v>
      </c>
      <c r="C210" s="3" t="n">
        <v>70</v>
      </c>
      <c r="D210" s="2" t="s">
        <v>114</v>
      </c>
      <c r="E210" s="2" t="s">
        <v>18</v>
      </c>
      <c r="F210" s="2" t="str">
        <f aca="false">TEXT(G210,"ddd")</f>
        <v>Mon</v>
      </c>
      <c r="G210" s="4" t="n">
        <f aca="false">Settings!$B$4+(B210-1)*Settings!$B$11+INDEX(Settings!$B$7:$B$9,MATCH(E210,Settings!$A$7:$A$9,0))</f>
        <v>46804</v>
      </c>
      <c r="H210" s="5" t="n">
        <f aca="false">G210-G209</f>
        <v>3</v>
      </c>
      <c r="I210" s="6" t="s">
        <v>115</v>
      </c>
      <c r="J210" s="2" t="s">
        <v>19</v>
      </c>
      <c r="K210" s="2"/>
      <c r="L210" s="2"/>
    </row>
    <row r="211" customFormat="false" ht="15" hidden="false" customHeight="false" outlineLevel="0" collapsed="false">
      <c r="A211" s="2" t="n">
        <v>210</v>
      </c>
      <c r="B211" s="2" t="n">
        <f aca="false">INT((A211-1)/3)+1</f>
        <v>70</v>
      </c>
      <c r="C211" s="3" t="n">
        <v>70</v>
      </c>
      <c r="D211" s="2" t="s">
        <v>114</v>
      </c>
      <c r="E211" s="2" t="s">
        <v>20</v>
      </c>
      <c r="F211" s="2" t="str">
        <f aca="false">TEXT(G211,"ddd")</f>
        <v>Wed</v>
      </c>
      <c r="G211" s="4" t="n">
        <f aca="false">Settings!$B$4+(B211-1)*Settings!$B$11+INDEX(Settings!$B$7:$B$9,MATCH(E211,Settings!$A$7:$A$9,0))</f>
        <v>46806</v>
      </c>
      <c r="H211" s="5" t="n">
        <f aca="false">G211-G210</f>
        <v>2</v>
      </c>
      <c r="I211" s="6" t="s">
        <v>115</v>
      </c>
      <c r="J211" s="2" t="s">
        <v>19</v>
      </c>
      <c r="K211" s="2"/>
      <c r="L211" s="2"/>
    </row>
    <row r="212" customFormat="false" ht="15" hidden="false" customHeight="false" outlineLevel="0" collapsed="false">
      <c r="A212" s="2" t="n">
        <v>211</v>
      </c>
      <c r="B212" s="2" t="n">
        <f aca="false">INT((A212-1)/3)+1</f>
        <v>71</v>
      </c>
      <c r="C212" s="3" t="n">
        <v>71</v>
      </c>
      <c r="D212" s="2" t="s">
        <v>116</v>
      </c>
      <c r="E212" s="2" t="s">
        <v>13</v>
      </c>
      <c r="F212" s="2" t="str">
        <f aca="false">TEXT(G212,"ddd")</f>
        <v>Fri</v>
      </c>
      <c r="G212" s="4" t="n">
        <f aca="false">Settings!$B$4+(B212-1)*Settings!$B$11+INDEX(Settings!$B$7:$B$9,MATCH(E212,Settings!$A$7:$A$9,0))</f>
        <v>46808</v>
      </c>
      <c r="H212" s="5" t="n">
        <f aca="false">G212-G211</f>
        <v>2</v>
      </c>
      <c r="I212" s="6" t="s">
        <v>115</v>
      </c>
      <c r="J212" s="2" t="s">
        <v>19</v>
      </c>
      <c r="K212" s="2"/>
      <c r="L212" s="2"/>
    </row>
    <row r="213" customFormat="false" ht="15" hidden="false" customHeight="false" outlineLevel="0" collapsed="false">
      <c r="A213" s="2" t="n">
        <v>212</v>
      </c>
      <c r="B213" s="2" t="n">
        <f aca="false">INT((A213-1)/3)+1</f>
        <v>71</v>
      </c>
      <c r="C213" s="3" t="n">
        <v>71</v>
      </c>
      <c r="D213" s="2" t="s">
        <v>116</v>
      </c>
      <c r="E213" s="2" t="s">
        <v>18</v>
      </c>
      <c r="F213" s="2" t="str">
        <f aca="false">TEXT(G213,"ddd")</f>
        <v>Mon</v>
      </c>
      <c r="G213" s="4" t="n">
        <f aca="false">Settings!$B$4+(B213-1)*Settings!$B$11+INDEX(Settings!$B$7:$B$9,MATCH(E213,Settings!$A$7:$A$9,0))</f>
        <v>46811</v>
      </c>
      <c r="H213" s="5" t="n">
        <f aca="false">G213-G212</f>
        <v>3</v>
      </c>
      <c r="I213" s="6" t="s">
        <v>115</v>
      </c>
      <c r="J213" s="2" t="s">
        <v>19</v>
      </c>
      <c r="K213" s="2"/>
      <c r="L213" s="2"/>
    </row>
    <row r="214" customFormat="false" ht="15" hidden="false" customHeight="false" outlineLevel="0" collapsed="false">
      <c r="A214" s="2" t="n">
        <v>213</v>
      </c>
      <c r="B214" s="2" t="n">
        <f aca="false">INT((A214-1)/3)+1</f>
        <v>71</v>
      </c>
      <c r="C214" s="3" t="n">
        <v>71</v>
      </c>
      <c r="D214" s="2" t="s">
        <v>116</v>
      </c>
      <c r="E214" s="2" t="s">
        <v>20</v>
      </c>
      <c r="F214" s="2" t="str">
        <f aca="false">TEXT(G214,"ddd")</f>
        <v>Wed</v>
      </c>
      <c r="G214" s="4" t="n">
        <f aca="false">Settings!$B$4+(B214-1)*Settings!$B$11+INDEX(Settings!$B$7:$B$9,MATCH(E214,Settings!$A$7:$A$9,0))</f>
        <v>46813</v>
      </c>
      <c r="H214" s="5" t="n">
        <f aca="false">G214-G213</f>
        <v>2</v>
      </c>
      <c r="I214" s="6" t="s">
        <v>115</v>
      </c>
      <c r="J214" s="2" t="s">
        <v>19</v>
      </c>
      <c r="K214" s="2"/>
      <c r="L214" s="2"/>
    </row>
    <row r="215" customFormat="false" ht="15" hidden="false" customHeight="false" outlineLevel="0" collapsed="false">
      <c r="A215" s="2" t="n">
        <v>214</v>
      </c>
      <c r="B215" s="2" t="n">
        <f aca="false">INT((A215-1)/3)+1</f>
        <v>72</v>
      </c>
      <c r="C215" s="3" t="n">
        <v>72</v>
      </c>
      <c r="D215" s="2" t="s">
        <v>117</v>
      </c>
      <c r="E215" s="2" t="s">
        <v>13</v>
      </c>
      <c r="F215" s="2" t="str">
        <f aca="false">TEXT(G215,"ddd")</f>
        <v>Fri</v>
      </c>
      <c r="G215" s="4" t="n">
        <f aca="false">Settings!$B$4+(B215-1)*Settings!$B$11+INDEX(Settings!$B$7:$B$9,MATCH(E215,Settings!$A$7:$A$9,0))</f>
        <v>46815</v>
      </c>
      <c r="H215" s="5" t="n">
        <f aca="false">G215-G214</f>
        <v>2</v>
      </c>
      <c r="I215" s="6" t="s">
        <v>115</v>
      </c>
      <c r="J215" s="2" t="s">
        <v>19</v>
      </c>
      <c r="K215" s="2"/>
      <c r="L215" s="2"/>
    </row>
    <row r="216" customFormat="false" ht="15" hidden="false" customHeight="false" outlineLevel="0" collapsed="false">
      <c r="A216" s="2" t="n">
        <v>215</v>
      </c>
      <c r="B216" s="2" t="n">
        <f aca="false">INT((A216-1)/3)+1</f>
        <v>72</v>
      </c>
      <c r="C216" s="3" t="n">
        <v>72</v>
      </c>
      <c r="D216" s="2" t="s">
        <v>117</v>
      </c>
      <c r="E216" s="2" t="s">
        <v>18</v>
      </c>
      <c r="F216" s="2" t="str">
        <f aca="false">TEXT(G216,"ddd")</f>
        <v>Mon</v>
      </c>
      <c r="G216" s="4" t="n">
        <f aca="false">Settings!$B$4+(B216-1)*Settings!$B$11+INDEX(Settings!$B$7:$B$9,MATCH(E216,Settings!$A$7:$A$9,0))</f>
        <v>46818</v>
      </c>
      <c r="H216" s="5" t="n">
        <f aca="false">G216-G215</f>
        <v>3</v>
      </c>
      <c r="I216" s="6" t="s">
        <v>115</v>
      </c>
      <c r="J216" s="2" t="s">
        <v>19</v>
      </c>
      <c r="K216" s="2"/>
      <c r="L216" s="2"/>
    </row>
    <row r="217" customFormat="false" ht="15" hidden="false" customHeight="false" outlineLevel="0" collapsed="false">
      <c r="A217" s="2" t="n">
        <v>216</v>
      </c>
      <c r="B217" s="2" t="n">
        <f aca="false">INT((A217-1)/3)+1</f>
        <v>72</v>
      </c>
      <c r="C217" s="3" t="n">
        <v>72</v>
      </c>
      <c r="D217" s="2" t="s">
        <v>117</v>
      </c>
      <c r="E217" s="2" t="s">
        <v>20</v>
      </c>
      <c r="F217" s="2" t="str">
        <f aca="false">TEXT(G217,"ddd")</f>
        <v>Wed</v>
      </c>
      <c r="G217" s="4" t="n">
        <f aca="false">Settings!$B$4+(B217-1)*Settings!$B$11+INDEX(Settings!$B$7:$B$9,MATCH(E217,Settings!$A$7:$A$9,0))</f>
        <v>46820</v>
      </c>
      <c r="H217" s="5" t="n">
        <f aca="false">G217-G216</f>
        <v>2</v>
      </c>
      <c r="I217" s="6" t="s">
        <v>115</v>
      </c>
      <c r="J217" s="2" t="s">
        <v>19</v>
      </c>
      <c r="K217" s="2"/>
      <c r="L217" s="2"/>
    </row>
    <row r="218" customFormat="false" ht="15" hidden="false" customHeight="false" outlineLevel="0" collapsed="false">
      <c r="A218" s="2" t="n">
        <v>217</v>
      </c>
      <c r="B218" s="2" t="n">
        <f aca="false">INT((A218-1)/3)+1</f>
        <v>73</v>
      </c>
      <c r="C218" s="3" t="n">
        <v>73</v>
      </c>
      <c r="D218" s="2" t="s">
        <v>118</v>
      </c>
      <c r="E218" s="2" t="s">
        <v>13</v>
      </c>
      <c r="F218" s="2" t="str">
        <f aca="false">TEXT(G218,"ddd")</f>
        <v>Fri</v>
      </c>
      <c r="G218" s="4" t="n">
        <f aca="false">Settings!$B$4+(B218-1)*Settings!$B$11+INDEX(Settings!$B$7:$B$9,MATCH(E218,Settings!$A$7:$A$9,0))</f>
        <v>46822</v>
      </c>
      <c r="H218" s="5" t="n">
        <f aca="false">G218-G217</f>
        <v>2</v>
      </c>
      <c r="I218" s="6" t="s">
        <v>115</v>
      </c>
      <c r="J218" s="2" t="s">
        <v>19</v>
      </c>
      <c r="K218" s="2"/>
      <c r="L218" s="2"/>
    </row>
    <row r="219" customFormat="false" ht="15" hidden="false" customHeight="false" outlineLevel="0" collapsed="false">
      <c r="A219" s="2" t="n">
        <v>218</v>
      </c>
      <c r="B219" s="2" t="n">
        <f aca="false">INT((A219-1)/3)+1</f>
        <v>73</v>
      </c>
      <c r="C219" s="3" t="n">
        <v>73</v>
      </c>
      <c r="D219" s="2" t="s">
        <v>118</v>
      </c>
      <c r="E219" s="2" t="s">
        <v>18</v>
      </c>
      <c r="F219" s="2" t="str">
        <f aca="false">TEXT(G219,"ddd")</f>
        <v>Mon</v>
      </c>
      <c r="G219" s="4" t="n">
        <f aca="false">Settings!$B$4+(B219-1)*Settings!$B$11+INDEX(Settings!$B$7:$B$9,MATCH(E219,Settings!$A$7:$A$9,0))</f>
        <v>46825</v>
      </c>
      <c r="H219" s="5" t="n">
        <f aca="false">G219-G218</f>
        <v>3</v>
      </c>
      <c r="I219" s="6" t="s">
        <v>115</v>
      </c>
      <c r="J219" s="2" t="s">
        <v>19</v>
      </c>
      <c r="K219" s="2"/>
      <c r="L219" s="2"/>
    </row>
    <row r="220" customFormat="false" ht="15" hidden="false" customHeight="false" outlineLevel="0" collapsed="false">
      <c r="A220" s="2" t="n">
        <v>219</v>
      </c>
      <c r="B220" s="2" t="n">
        <f aca="false">INT((A220-1)/3)+1</f>
        <v>73</v>
      </c>
      <c r="C220" s="3" t="n">
        <v>73</v>
      </c>
      <c r="D220" s="2" t="s">
        <v>118</v>
      </c>
      <c r="E220" s="2" t="s">
        <v>20</v>
      </c>
      <c r="F220" s="2" t="str">
        <f aca="false">TEXT(G220,"ddd")</f>
        <v>Wed</v>
      </c>
      <c r="G220" s="4" t="n">
        <f aca="false">Settings!$B$4+(B220-1)*Settings!$B$11+INDEX(Settings!$B$7:$B$9,MATCH(E220,Settings!$A$7:$A$9,0))</f>
        <v>46827</v>
      </c>
      <c r="H220" s="5" t="n">
        <f aca="false">G220-G219</f>
        <v>2</v>
      </c>
      <c r="I220" s="6" t="s">
        <v>115</v>
      </c>
      <c r="J220" s="2" t="s">
        <v>19</v>
      </c>
      <c r="K220" s="2"/>
      <c r="L220" s="2"/>
    </row>
    <row r="221" customFormat="false" ht="15" hidden="false" customHeight="false" outlineLevel="0" collapsed="false">
      <c r="A221" s="2" t="n">
        <v>220</v>
      </c>
      <c r="B221" s="2" t="n">
        <f aca="false">INT((A221-1)/3)+1</f>
        <v>74</v>
      </c>
      <c r="C221" s="3" t="n">
        <v>74</v>
      </c>
      <c r="D221" s="2" t="s">
        <v>119</v>
      </c>
      <c r="E221" s="2" t="s">
        <v>13</v>
      </c>
      <c r="F221" s="2" t="str">
        <f aca="false">TEXT(G221,"ddd")</f>
        <v>Fri</v>
      </c>
      <c r="G221" s="4" t="n">
        <f aca="false">Settings!$B$4+(B221-1)*Settings!$B$11+INDEX(Settings!$B$7:$B$9,MATCH(E221,Settings!$A$7:$A$9,0))</f>
        <v>46829</v>
      </c>
      <c r="H221" s="5" t="n">
        <f aca="false">G221-G220</f>
        <v>2</v>
      </c>
      <c r="I221" s="6" t="s">
        <v>115</v>
      </c>
      <c r="J221" s="2" t="s">
        <v>19</v>
      </c>
      <c r="K221" s="2"/>
      <c r="L221" s="2"/>
    </row>
    <row r="222" customFormat="false" ht="15" hidden="false" customHeight="false" outlineLevel="0" collapsed="false">
      <c r="A222" s="2" t="n">
        <v>221</v>
      </c>
      <c r="B222" s="2" t="n">
        <f aca="false">INT((A222-1)/3)+1</f>
        <v>74</v>
      </c>
      <c r="C222" s="3" t="n">
        <v>74</v>
      </c>
      <c r="D222" s="2" t="s">
        <v>119</v>
      </c>
      <c r="E222" s="2" t="s">
        <v>18</v>
      </c>
      <c r="F222" s="2" t="str">
        <f aca="false">TEXT(G222,"ddd")</f>
        <v>Mon</v>
      </c>
      <c r="G222" s="4" t="n">
        <f aca="false">Settings!$B$4+(B222-1)*Settings!$B$11+INDEX(Settings!$B$7:$B$9,MATCH(E222,Settings!$A$7:$A$9,0))</f>
        <v>46832</v>
      </c>
      <c r="H222" s="5" t="n">
        <f aca="false">G222-G221</f>
        <v>3</v>
      </c>
      <c r="I222" s="6" t="s">
        <v>115</v>
      </c>
      <c r="J222" s="2" t="s">
        <v>19</v>
      </c>
      <c r="K222" s="2"/>
      <c r="L222" s="2"/>
    </row>
    <row r="223" customFormat="false" ht="15" hidden="false" customHeight="false" outlineLevel="0" collapsed="false">
      <c r="A223" s="2" t="n">
        <v>222</v>
      </c>
      <c r="B223" s="2" t="n">
        <f aca="false">INT((A223-1)/3)+1</f>
        <v>74</v>
      </c>
      <c r="C223" s="3" t="n">
        <v>74</v>
      </c>
      <c r="D223" s="2" t="s">
        <v>119</v>
      </c>
      <c r="E223" s="2" t="s">
        <v>20</v>
      </c>
      <c r="F223" s="2" t="str">
        <f aca="false">TEXT(G223,"ddd")</f>
        <v>Wed</v>
      </c>
      <c r="G223" s="4" t="n">
        <f aca="false">Settings!$B$4+(B223-1)*Settings!$B$11+INDEX(Settings!$B$7:$B$9,MATCH(E223,Settings!$A$7:$A$9,0))</f>
        <v>46834</v>
      </c>
      <c r="H223" s="5" t="n">
        <f aca="false">G223-G222</f>
        <v>2</v>
      </c>
      <c r="I223" s="6" t="s">
        <v>115</v>
      </c>
      <c r="J223" s="2" t="s">
        <v>19</v>
      </c>
      <c r="K223" s="2"/>
      <c r="L223" s="2"/>
    </row>
    <row r="224" customFormat="false" ht="15" hidden="false" customHeight="false" outlineLevel="0" collapsed="false">
      <c r="A224" s="2" t="n">
        <v>223</v>
      </c>
      <c r="B224" s="2" t="n">
        <f aca="false">INT((A224-1)/3)+1</f>
        <v>75</v>
      </c>
      <c r="C224" s="3" t="n">
        <v>75</v>
      </c>
      <c r="D224" s="2" t="s">
        <v>120</v>
      </c>
      <c r="E224" s="2" t="s">
        <v>13</v>
      </c>
      <c r="F224" s="2" t="str">
        <f aca="false">TEXT(G224,"ddd")</f>
        <v>Fri</v>
      </c>
      <c r="G224" s="4" t="n">
        <f aca="false">Settings!$B$4+(B224-1)*Settings!$B$11+INDEX(Settings!$B$7:$B$9,MATCH(E224,Settings!$A$7:$A$9,0))</f>
        <v>46836</v>
      </c>
      <c r="H224" s="5" t="n">
        <f aca="false">G224-G223</f>
        <v>2</v>
      </c>
      <c r="I224" s="6" t="s">
        <v>121</v>
      </c>
      <c r="J224" s="2" t="s">
        <v>19</v>
      </c>
      <c r="K224" s="2"/>
      <c r="L224" s="2"/>
    </row>
    <row r="225" customFormat="false" ht="15" hidden="false" customHeight="false" outlineLevel="0" collapsed="false">
      <c r="A225" s="2" t="n">
        <v>224</v>
      </c>
      <c r="B225" s="2" t="n">
        <f aca="false">INT((A225-1)/3)+1</f>
        <v>75</v>
      </c>
      <c r="C225" s="3" t="n">
        <v>75</v>
      </c>
      <c r="D225" s="2" t="s">
        <v>120</v>
      </c>
      <c r="E225" s="2" t="s">
        <v>18</v>
      </c>
      <c r="F225" s="2" t="str">
        <f aca="false">TEXT(G225,"ddd")</f>
        <v>Mon</v>
      </c>
      <c r="G225" s="4" t="n">
        <f aca="false">Settings!$B$4+(B225-1)*Settings!$B$11+INDEX(Settings!$B$7:$B$9,MATCH(E225,Settings!$A$7:$A$9,0))</f>
        <v>46839</v>
      </c>
      <c r="H225" s="5" t="n">
        <f aca="false">G225-G224</f>
        <v>3</v>
      </c>
      <c r="I225" s="6" t="s">
        <v>121</v>
      </c>
      <c r="J225" s="2" t="s">
        <v>19</v>
      </c>
      <c r="K225" s="2"/>
      <c r="L225" s="2"/>
    </row>
    <row r="226" customFormat="false" ht="15" hidden="false" customHeight="false" outlineLevel="0" collapsed="false">
      <c r="A226" s="2" t="n">
        <v>225</v>
      </c>
      <c r="B226" s="2" t="n">
        <f aca="false">INT((A226-1)/3)+1</f>
        <v>75</v>
      </c>
      <c r="C226" s="3" t="n">
        <v>75</v>
      </c>
      <c r="D226" s="2" t="s">
        <v>120</v>
      </c>
      <c r="E226" s="2" t="s">
        <v>20</v>
      </c>
      <c r="F226" s="2" t="str">
        <f aca="false">TEXT(G226,"ddd")</f>
        <v>Wed</v>
      </c>
      <c r="G226" s="4" t="n">
        <f aca="false">Settings!$B$4+(B226-1)*Settings!$B$11+INDEX(Settings!$B$7:$B$9,MATCH(E226,Settings!$A$7:$A$9,0))</f>
        <v>46841</v>
      </c>
      <c r="H226" s="5" t="n">
        <f aca="false">G226-G225</f>
        <v>2</v>
      </c>
      <c r="I226" s="6" t="s">
        <v>121</v>
      </c>
      <c r="J226" s="2" t="s">
        <v>19</v>
      </c>
      <c r="K226" s="2"/>
      <c r="L226" s="2"/>
    </row>
    <row r="227" customFormat="false" ht="15" hidden="false" customHeight="false" outlineLevel="0" collapsed="false">
      <c r="A227" s="2" t="n">
        <v>226</v>
      </c>
      <c r="B227" s="2" t="n">
        <f aca="false">INT((A227-1)/3)+1</f>
        <v>76</v>
      </c>
      <c r="C227" s="3" t="n">
        <v>76</v>
      </c>
      <c r="D227" s="2" t="s">
        <v>122</v>
      </c>
      <c r="E227" s="2" t="s">
        <v>13</v>
      </c>
      <c r="F227" s="2" t="str">
        <f aca="false">TEXT(G227,"ddd")</f>
        <v>Fri</v>
      </c>
      <c r="G227" s="4" t="n">
        <f aca="false">Settings!$B$4+(B227-1)*Settings!$B$11+INDEX(Settings!$B$7:$B$9,MATCH(E227,Settings!$A$7:$A$9,0))</f>
        <v>46843</v>
      </c>
      <c r="H227" s="5" t="n">
        <f aca="false">G227-G226</f>
        <v>2</v>
      </c>
      <c r="I227" s="6" t="s">
        <v>121</v>
      </c>
      <c r="J227" s="2" t="s">
        <v>19</v>
      </c>
      <c r="K227" s="2"/>
      <c r="L227" s="2"/>
    </row>
    <row r="228" customFormat="false" ht="15" hidden="false" customHeight="false" outlineLevel="0" collapsed="false">
      <c r="A228" s="2" t="n">
        <v>227</v>
      </c>
      <c r="B228" s="2" t="n">
        <f aca="false">INT((A228-1)/3)+1</f>
        <v>76</v>
      </c>
      <c r="C228" s="3" t="n">
        <v>76</v>
      </c>
      <c r="D228" s="2" t="s">
        <v>122</v>
      </c>
      <c r="E228" s="2" t="s">
        <v>18</v>
      </c>
      <c r="F228" s="2" t="str">
        <f aca="false">TEXT(G228,"ddd")</f>
        <v>Mon</v>
      </c>
      <c r="G228" s="4" t="n">
        <f aca="false">Settings!$B$4+(B228-1)*Settings!$B$11+INDEX(Settings!$B$7:$B$9,MATCH(E228,Settings!$A$7:$A$9,0))</f>
        <v>46846</v>
      </c>
      <c r="H228" s="5" t="n">
        <f aca="false">G228-G227</f>
        <v>3</v>
      </c>
      <c r="I228" s="6" t="s">
        <v>121</v>
      </c>
      <c r="J228" s="2" t="s">
        <v>19</v>
      </c>
      <c r="K228" s="2"/>
      <c r="L228" s="2"/>
    </row>
    <row r="229" customFormat="false" ht="15" hidden="false" customHeight="false" outlineLevel="0" collapsed="false">
      <c r="A229" s="2" t="n">
        <v>228</v>
      </c>
      <c r="B229" s="2" t="n">
        <f aca="false">INT((A229-1)/3)+1</f>
        <v>76</v>
      </c>
      <c r="C229" s="3" t="n">
        <v>76</v>
      </c>
      <c r="D229" s="2" t="s">
        <v>122</v>
      </c>
      <c r="E229" s="2" t="s">
        <v>20</v>
      </c>
      <c r="F229" s="2" t="str">
        <f aca="false">TEXT(G229,"ddd")</f>
        <v>Wed</v>
      </c>
      <c r="G229" s="4" t="n">
        <f aca="false">Settings!$B$4+(B229-1)*Settings!$B$11+INDEX(Settings!$B$7:$B$9,MATCH(E229,Settings!$A$7:$A$9,0))</f>
        <v>46848</v>
      </c>
      <c r="H229" s="5" t="n">
        <f aca="false">G229-G228</f>
        <v>2</v>
      </c>
      <c r="I229" s="6" t="s">
        <v>121</v>
      </c>
      <c r="J229" s="2" t="s">
        <v>19</v>
      </c>
      <c r="K229" s="2"/>
      <c r="L229" s="2"/>
    </row>
    <row r="230" customFormat="false" ht="15" hidden="false" customHeight="false" outlineLevel="0" collapsed="false">
      <c r="A230" s="2" t="n">
        <v>229</v>
      </c>
      <c r="B230" s="2" t="n">
        <f aca="false">INT((A230-1)/3)+1</f>
        <v>77</v>
      </c>
      <c r="C230" s="3" t="n">
        <v>77</v>
      </c>
      <c r="D230" s="2" t="s">
        <v>123</v>
      </c>
      <c r="E230" s="2" t="s">
        <v>13</v>
      </c>
      <c r="F230" s="2" t="str">
        <f aca="false">TEXT(G230,"ddd")</f>
        <v>Fri</v>
      </c>
      <c r="G230" s="4" t="n">
        <f aca="false">Settings!$B$4+(B230-1)*Settings!$B$11+INDEX(Settings!$B$7:$B$9,MATCH(E230,Settings!$A$7:$A$9,0))</f>
        <v>46850</v>
      </c>
      <c r="H230" s="5" t="n">
        <f aca="false">G230-G229</f>
        <v>2</v>
      </c>
      <c r="I230" s="6" t="s">
        <v>121</v>
      </c>
      <c r="J230" s="2" t="s">
        <v>19</v>
      </c>
      <c r="K230" s="2"/>
      <c r="L230" s="2"/>
    </row>
    <row r="231" customFormat="false" ht="15" hidden="false" customHeight="false" outlineLevel="0" collapsed="false">
      <c r="A231" s="2" t="n">
        <v>230</v>
      </c>
      <c r="B231" s="2" t="n">
        <f aca="false">INT((A231-1)/3)+1</f>
        <v>77</v>
      </c>
      <c r="C231" s="3" t="n">
        <v>77</v>
      </c>
      <c r="D231" s="2" t="s">
        <v>123</v>
      </c>
      <c r="E231" s="2" t="s">
        <v>18</v>
      </c>
      <c r="F231" s="2" t="str">
        <f aca="false">TEXT(G231,"ddd")</f>
        <v>Mon</v>
      </c>
      <c r="G231" s="4" t="n">
        <f aca="false">Settings!$B$4+(B231-1)*Settings!$B$11+INDEX(Settings!$B$7:$B$9,MATCH(E231,Settings!$A$7:$A$9,0))</f>
        <v>46853</v>
      </c>
      <c r="H231" s="5" t="n">
        <f aca="false">G231-G230</f>
        <v>3</v>
      </c>
      <c r="I231" s="6" t="s">
        <v>121</v>
      </c>
      <c r="J231" s="2" t="s">
        <v>19</v>
      </c>
      <c r="K231" s="2"/>
      <c r="L231" s="2"/>
    </row>
    <row r="232" customFormat="false" ht="15" hidden="false" customHeight="false" outlineLevel="0" collapsed="false">
      <c r="A232" s="2" t="n">
        <v>231</v>
      </c>
      <c r="B232" s="2" t="n">
        <f aca="false">INT((A232-1)/3)+1</f>
        <v>77</v>
      </c>
      <c r="C232" s="3" t="n">
        <v>77</v>
      </c>
      <c r="D232" s="2" t="s">
        <v>123</v>
      </c>
      <c r="E232" s="2" t="s">
        <v>20</v>
      </c>
      <c r="F232" s="2" t="str">
        <f aca="false">TEXT(G232,"ddd")</f>
        <v>Wed</v>
      </c>
      <c r="G232" s="4" t="n">
        <f aca="false">Settings!$B$4+(B232-1)*Settings!$B$11+INDEX(Settings!$B$7:$B$9,MATCH(E232,Settings!$A$7:$A$9,0))</f>
        <v>46855</v>
      </c>
      <c r="H232" s="5" t="n">
        <f aca="false">G232-G231</f>
        <v>2</v>
      </c>
      <c r="I232" s="6" t="s">
        <v>121</v>
      </c>
      <c r="J232" s="2" t="s">
        <v>19</v>
      </c>
      <c r="K232" s="2"/>
      <c r="L232" s="2"/>
    </row>
    <row r="233" customFormat="false" ht="15" hidden="false" customHeight="false" outlineLevel="0" collapsed="false">
      <c r="A233" s="2" t="n">
        <v>232</v>
      </c>
      <c r="B233" s="2" t="n">
        <f aca="false">INT((A233-1)/3)+1</f>
        <v>78</v>
      </c>
      <c r="C233" s="3" t="n">
        <v>78</v>
      </c>
      <c r="D233" s="2" t="s">
        <v>124</v>
      </c>
      <c r="E233" s="2" t="s">
        <v>13</v>
      </c>
      <c r="F233" s="2" t="str">
        <f aca="false">TEXT(G233,"ddd")</f>
        <v>Fri</v>
      </c>
      <c r="G233" s="4" t="n">
        <f aca="false">Settings!$B$4+(B233-1)*Settings!$B$11+INDEX(Settings!$B$7:$B$9,MATCH(E233,Settings!$A$7:$A$9,0))</f>
        <v>46857</v>
      </c>
      <c r="H233" s="5" t="n">
        <f aca="false">G233-G232</f>
        <v>2</v>
      </c>
      <c r="I233" s="6" t="s">
        <v>121</v>
      </c>
      <c r="J233" s="2" t="s">
        <v>19</v>
      </c>
      <c r="K233" s="2"/>
      <c r="L233" s="2"/>
    </row>
    <row r="234" customFormat="false" ht="15" hidden="false" customHeight="false" outlineLevel="0" collapsed="false">
      <c r="A234" s="2" t="n">
        <v>233</v>
      </c>
      <c r="B234" s="2" t="n">
        <f aca="false">INT((A234-1)/3)+1</f>
        <v>78</v>
      </c>
      <c r="C234" s="3" t="n">
        <v>78</v>
      </c>
      <c r="D234" s="2" t="s">
        <v>124</v>
      </c>
      <c r="E234" s="2" t="s">
        <v>18</v>
      </c>
      <c r="F234" s="2" t="str">
        <f aca="false">TEXT(G234,"ddd")</f>
        <v>Mon</v>
      </c>
      <c r="G234" s="4" t="n">
        <f aca="false">Settings!$B$4+(B234-1)*Settings!$B$11+INDEX(Settings!$B$7:$B$9,MATCH(E234,Settings!$A$7:$A$9,0))</f>
        <v>46860</v>
      </c>
      <c r="H234" s="5" t="n">
        <f aca="false">G234-G233</f>
        <v>3</v>
      </c>
      <c r="I234" s="6" t="s">
        <v>121</v>
      </c>
      <c r="J234" s="2" t="s">
        <v>19</v>
      </c>
      <c r="K234" s="2"/>
      <c r="L234" s="2"/>
    </row>
    <row r="235" customFormat="false" ht="15" hidden="false" customHeight="false" outlineLevel="0" collapsed="false">
      <c r="A235" s="2" t="n">
        <v>234</v>
      </c>
      <c r="B235" s="2" t="n">
        <f aca="false">INT((A235-1)/3)+1</f>
        <v>78</v>
      </c>
      <c r="C235" s="3" t="n">
        <v>78</v>
      </c>
      <c r="D235" s="2" t="s">
        <v>124</v>
      </c>
      <c r="E235" s="2" t="s">
        <v>20</v>
      </c>
      <c r="F235" s="2" t="str">
        <f aca="false">TEXT(G235,"ddd")</f>
        <v>Wed</v>
      </c>
      <c r="G235" s="4" t="n">
        <f aca="false">Settings!$B$4+(B235-1)*Settings!$B$11+INDEX(Settings!$B$7:$B$9,MATCH(E235,Settings!$A$7:$A$9,0))</f>
        <v>46862</v>
      </c>
      <c r="H235" s="5" t="n">
        <f aca="false">G235-G234</f>
        <v>2</v>
      </c>
      <c r="I235" s="6" t="s">
        <v>121</v>
      </c>
      <c r="J235" s="2" t="s">
        <v>19</v>
      </c>
      <c r="K235" s="2"/>
      <c r="L235" s="2"/>
    </row>
    <row r="236" customFormat="false" ht="15" hidden="false" customHeight="false" outlineLevel="0" collapsed="false">
      <c r="A236" s="2" t="n">
        <v>235</v>
      </c>
      <c r="B236" s="2" t="n">
        <f aca="false">INT((A236-1)/3)+1</f>
        <v>79</v>
      </c>
      <c r="C236" s="3" t="n">
        <v>79</v>
      </c>
      <c r="D236" s="2" t="s">
        <v>125</v>
      </c>
      <c r="E236" s="2" t="s">
        <v>13</v>
      </c>
      <c r="F236" s="2" t="str">
        <f aca="false">TEXT(G236,"ddd")</f>
        <v>Fri</v>
      </c>
      <c r="G236" s="4" t="n">
        <f aca="false">Settings!$B$4+(B236-1)*Settings!$B$11+INDEX(Settings!$B$7:$B$9,MATCH(E236,Settings!$A$7:$A$9,0))</f>
        <v>46864</v>
      </c>
      <c r="H236" s="5" t="n">
        <f aca="false">G236-G235</f>
        <v>2</v>
      </c>
      <c r="I236" s="6" t="s">
        <v>126</v>
      </c>
      <c r="J236" s="2" t="s">
        <v>19</v>
      </c>
      <c r="K236" s="2"/>
      <c r="L236" s="2"/>
    </row>
    <row r="237" customFormat="false" ht="15" hidden="false" customHeight="false" outlineLevel="0" collapsed="false">
      <c r="A237" s="2" t="n">
        <v>236</v>
      </c>
      <c r="B237" s="2" t="n">
        <f aca="false">INT((A237-1)/3)+1</f>
        <v>79</v>
      </c>
      <c r="C237" s="3" t="n">
        <v>79</v>
      </c>
      <c r="D237" s="2" t="s">
        <v>125</v>
      </c>
      <c r="E237" s="2" t="s">
        <v>18</v>
      </c>
      <c r="F237" s="2" t="str">
        <f aca="false">TEXT(G237,"ddd")</f>
        <v>Mon</v>
      </c>
      <c r="G237" s="4" t="n">
        <f aca="false">Settings!$B$4+(B237-1)*Settings!$B$11+INDEX(Settings!$B$7:$B$9,MATCH(E237,Settings!$A$7:$A$9,0))</f>
        <v>46867</v>
      </c>
      <c r="H237" s="5" t="n">
        <f aca="false">G237-G236</f>
        <v>3</v>
      </c>
      <c r="I237" s="6" t="s">
        <v>126</v>
      </c>
      <c r="J237" s="2" t="s">
        <v>19</v>
      </c>
      <c r="K237" s="2"/>
      <c r="L237" s="2"/>
    </row>
    <row r="238" customFormat="false" ht="15" hidden="false" customHeight="false" outlineLevel="0" collapsed="false">
      <c r="A238" s="2" t="n">
        <v>237</v>
      </c>
      <c r="B238" s="2" t="n">
        <f aca="false">INT((A238-1)/3)+1</f>
        <v>79</v>
      </c>
      <c r="C238" s="3" t="n">
        <v>79</v>
      </c>
      <c r="D238" s="2" t="s">
        <v>125</v>
      </c>
      <c r="E238" s="2" t="s">
        <v>20</v>
      </c>
      <c r="F238" s="2" t="str">
        <f aca="false">TEXT(G238,"ddd")</f>
        <v>Wed</v>
      </c>
      <c r="G238" s="4" t="n">
        <f aca="false">Settings!$B$4+(B238-1)*Settings!$B$11+INDEX(Settings!$B$7:$B$9,MATCH(E238,Settings!$A$7:$A$9,0))</f>
        <v>46869</v>
      </c>
      <c r="H238" s="5" t="n">
        <f aca="false">G238-G237</f>
        <v>2</v>
      </c>
      <c r="I238" s="6" t="s">
        <v>126</v>
      </c>
      <c r="J238" s="2" t="s">
        <v>19</v>
      </c>
      <c r="K238" s="2"/>
      <c r="L238" s="2"/>
    </row>
    <row r="239" customFormat="false" ht="15" hidden="false" customHeight="false" outlineLevel="0" collapsed="false">
      <c r="A239" s="2" t="n">
        <v>238</v>
      </c>
      <c r="B239" s="2" t="n">
        <f aca="false">INT((A239-1)/3)+1</f>
        <v>80</v>
      </c>
      <c r="C239" s="3" t="n">
        <v>80</v>
      </c>
      <c r="D239" s="2" t="s">
        <v>127</v>
      </c>
      <c r="E239" s="2" t="s">
        <v>13</v>
      </c>
      <c r="F239" s="2" t="str">
        <f aca="false">TEXT(G239,"ddd")</f>
        <v>Fri</v>
      </c>
      <c r="G239" s="4" t="n">
        <f aca="false">Settings!$B$4+(B239-1)*Settings!$B$11+INDEX(Settings!$B$7:$B$9,MATCH(E239,Settings!$A$7:$A$9,0))</f>
        <v>46871</v>
      </c>
      <c r="H239" s="5" t="n">
        <f aca="false">G239-G238</f>
        <v>2</v>
      </c>
      <c r="I239" s="6" t="s">
        <v>126</v>
      </c>
      <c r="J239" s="2" t="s">
        <v>19</v>
      </c>
      <c r="K239" s="2"/>
      <c r="L239" s="2"/>
    </row>
    <row r="240" customFormat="false" ht="15" hidden="false" customHeight="false" outlineLevel="0" collapsed="false">
      <c r="A240" s="2" t="n">
        <v>239</v>
      </c>
      <c r="B240" s="2" t="n">
        <f aca="false">INT((A240-1)/3)+1</f>
        <v>80</v>
      </c>
      <c r="C240" s="3" t="n">
        <v>80</v>
      </c>
      <c r="D240" s="2" t="s">
        <v>127</v>
      </c>
      <c r="E240" s="2" t="s">
        <v>18</v>
      </c>
      <c r="F240" s="2" t="str">
        <f aca="false">TEXT(G240,"ddd")</f>
        <v>Mon</v>
      </c>
      <c r="G240" s="4" t="n">
        <f aca="false">Settings!$B$4+(B240-1)*Settings!$B$11+INDEX(Settings!$B$7:$B$9,MATCH(E240,Settings!$A$7:$A$9,0))</f>
        <v>46874</v>
      </c>
      <c r="H240" s="5" t="n">
        <f aca="false">G240-G239</f>
        <v>3</v>
      </c>
      <c r="I240" s="6" t="s">
        <v>126</v>
      </c>
      <c r="J240" s="2" t="s">
        <v>19</v>
      </c>
      <c r="K240" s="2"/>
      <c r="L240" s="2"/>
    </row>
    <row r="241" customFormat="false" ht="15" hidden="false" customHeight="false" outlineLevel="0" collapsed="false">
      <c r="A241" s="2" t="n">
        <v>240</v>
      </c>
      <c r="B241" s="2" t="n">
        <f aca="false">INT((A241-1)/3)+1</f>
        <v>80</v>
      </c>
      <c r="C241" s="3" t="n">
        <v>80</v>
      </c>
      <c r="D241" s="2" t="s">
        <v>127</v>
      </c>
      <c r="E241" s="2" t="s">
        <v>20</v>
      </c>
      <c r="F241" s="2" t="str">
        <f aca="false">TEXT(G241,"ddd")</f>
        <v>Wed</v>
      </c>
      <c r="G241" s="4" t="n">
        <f aca="false">Settings!$B$4+(B241-1)*Settings!$B$11+INDEX(Settings!$B$7:$B$9,MATCH(E241,Settings!$A$7:$A$9,0))</f>
        <v>46876</v>
      </c>
      <c r="H241" s="5" t="n">
        <f aca="false">G241-G240</f>
        <v>2</v>
      </c>
      <c r="I241" s="6" t="s">
        <v>126</v>
      </c>
      <c r="J241" s="2" t="s">
        <v>19</v>
      </c>
      <c r="K241" s="2"/>
      <c r="L241" s="2"/>
    </row>
    <row r="242" customFormat="false" ht="15" hidden="false" customHeight="false" outlineLevel="0" collapsed="false">
      <c r="A242" s="2" t="n">
        <v>241</v>
      </c>
      <c r="B242" s="2" t="n">
        <f aca="false">INT((A242-1)/3)+1</f>
        <v>81</v>
      </c>
      <c r="C242" s="3" t="n">
        <v>81</v>
      </c>
      <c r="D242" s="2" t="s">
        <v>128</v>
      </c>
      <c r="E242" s="2" t="s">
        <v>13</v>
      </c>
      <c r="F242" s="2" t="str">
        <f aca="false">TEXT(G242,"ddd")</f>
        <v>Fri</v>
      </c>
      <c r="G242" s="4" t="n">
        <f aca="false">Settings!$B$4+(B242-1)*Settings!$B$11+INDEX(Settings!$B$7:$B$9,MATCH(E242,Settings!$A$7:$A$9,0))</f>
        <v>46878</v>
      </c>
      <c r="H242" s="5" t="n">
        <f aca="false">G242-G241</f>
        <v>2</v>
      </c>
      <c r="I242" s="6" t="s">
        <v>126</v>
      </c>
      <c r="J242" s="2" t="s">
        <v>19</v>
      </c>
      <c r="K242" s="2"/>
      <c r="L242" s="2"/>
    </row>
    <row r="243" customFormat="false" ht="15" hidden="false" customHeight="false" outlineLevel="0" collapsed="false">
      <c r="A243" s="2" t="n">
        <v>242</v>
      </c>
      <c r="B243" s="2" t="n">
        <f aca="false">INT((A243-1)/3)+1</f>
        <v>81</v>
      </c>
      <c r="C243" s="3" t="n">
        <v>81</v>
      </c>
      <c r="D243" s="2" t="s">
        <v>128</v>
      </c>
      <c r="E243" s="2" t="s">
        <v>18</v>
      </c>
      <c r="F243" s="2" t="str">
        <f aca="false">TEXT(G243,"ddd")</f>
        <v>Mon</v>
      </c>
      <c r="G243" s="4" t="n">
        <f aca="false">Settings!$B$4+(B243-1)*Settings!$B$11+INDEX(Settings!$B$7:$B$9,MATCH(E243,Settings!$A$7:$A$9,0))</f>
        <v>46881</v>
      </c>
      <c r="H243" s="5" t="n">
        <f aca="false">G243-G242</f>
        <v>3</v>
      </c>
      <c r="I243" s="6" t="s">
        <v>126</v>
      </c>
      <c r="J243" s="2" t="s">
        <v>19</v>
      </c>
      <c r="K243" s="2"/>
      <c r="L243" s="2"/>
    </row>
    <row r="244" customFormat="false" ht="15" hidden="false" customHeight="false" outlineLevel="0" collapsed="false">
      <c r="A244" s="2" t="n">
        <v>243</v>
      </c>
      <c r="B244" s="2" t="n">
        <f aca="false">INT((A244-1)/3)+1</f>
        <v>81</v>
      </c>
      <c r="C244" s="3" t="n">
        <v>81</v>
      </c>
      <c r="D244" s="2" t="s">
        <v>128</v>
      </c>
      <c r="E244" s="2" t="s">
        <v>20</v>
      </c>
      <c r="F244" s="2" t="str">
        <f aca="false">TEXT(G244,"ddd")</f>
        <v>Wed</v>
      </c>
      <c r="G244" s="4" t="n">
        <f aca="false">Settings!$B$4+(B244-1)*Settings!$B$11+INDEX(Settings!$B$7:$B$9,MATCH(E244,Settings!$A$7:$A$9,0))</f>
        <v>46883</v>
      </c>
      <c r="H244" s="5" t="n">
        <f aca="false">G244-G243</f>
        <v>2</v>
      </c>
      <c r="I244" s="6" t="s">
        <v>126</v>
      </c>
      <c r="J244" s="2" t="s">
        <v>19</v>
      </c>
      <c r="K244" s="2"/>
      <c r="L244" s="2"/>
    </row>
  </sheetData>
  <autoFilter ref="A1:L244"/>
  <conditionalFormatting sqref="A2:L244">
    <cfRule type="expression" priority="2" aboveAverage="0" equalAverage="0" bottom="0" percent="0" rank="0" text="" dxfId="6">
      <formula>$E2="Reading"</formula>
    </cfRule>
  </conditionalFormatting>
  <conditionalFormatting sqref="J2:J244">
    <cfRule type="expression" priority="3" aboveAverage="0" equalAverage="0" bottom="0" percent="0" rank="0" text="" dxfId="7">
      <formula>$J2="Released"</formula>
    </cfRule>
    <cfRule type="expression" priority="4" aboveAverage="0" equalAverage="0" bottom="0" percent="0" rank="0" text="" dxfId="8">
      <formula>OR($J2="Ready",$J2="Scheduled")</formula>
    </cfRule>
    <cfRule type="expression" priority="5" aboveAverage="0" equalAverage="0" bottom="0" percent="0" rank="0" text="" dxfId="9">
      <formula>$J2="In progress"</formula>
    </cfRule>
  </conditionalFormatting>
  <conditionalFormatting sqref="G2:G244">
    <cfRule type="expression" priority="6" aboveAverage="0" equalAverage="0" bottom="0" percent="0" rank="0" text="" dxfId="10">
      <formula>AND($G2&lt;TODAY(),$J2&lt;&gt;"Released")</formula>
    </cfRule>
  </conditionalFormatting>
  <dataValidations count="1">
    <dataValidation allowBlank="true" errorStyle="stop" operator="between" showDropDown="false" showErrorMessage="false" showInputMessage="false" sqref="J2:J244" type="list">
      <formula1>"Planned,In progress,Ready,Scheduled,Released"</formula1>
      <formula2>0</formula2>
    </dataValidation>
  </dataValidations>
  <hyperlinks>
    <hyperlink ref="I2" r:id="rId2" display="arredondo-03-27-24-tao-te-ching-chap-1-the-gateway-of-marvels-3-27-2024"/>
    <hyperlink ref="I3" r:id="rId3" display="arredondo-03-27-24-tao-te-ching-chap-1-the-gateway-of-marvels-3-27-2024"/>
    <hyperlink ref="I4" r:id="rId4" display="arredondo-03-27-24-tao-te-ching-chap-1-the-gateway-of-marvels-3-27-2024"/>
    <hyperlink ref="I5" r:id="rId5" display="arredondo-03-28-24-tao-te-ching-chaps-2-3-when-everyone-knows-beauty-is-beauty"/>
    <hyperlink ref="I6" r:id="rId6" display="arredondo-03-28-24-tao-te-ching-chaps-2-3-when-everyone-knows-beauty-is-beauty"/>
    <hyperlink ref="I7" r:id="rId7" display="arredondo-03-28-24-tao-te-ching-chaps-2-3-when-everyone-knows-beauty-is-beauty"/>
    <hyperlink ref="I8" r:id="rId8" display="arredondo-03-28-24-tao-te-ching-chaps-2-3-when-everyone-knows-beauty-is-beauty"/>
    <hyperlink ref="I9" r:id="rId9" display="arredondo-03-28-24-tao-te-ching-chaps-2-3-when-everyone-knows-beauty-is-beauty"/>
    <hyperlink ref="I10" r:id="rId10" display="arredondo-03-28-24-tao-te-ching-chaps-2-3-when-everyone-knows-beauty-is-beauty"/>
    <hyperlink ref="I11" r:id="rId11" display="arredondo-03-31-24-tao-te-ching-chaps-4-5-the-way-is-unimpeded-harmony"/>
    <hyperlink ref="I12" r:id="rId12" display="arredondo-03-31-24-tao-te-ching-chaps-4-5-the-way-is-unimpeded-harmony"/>
    <hyperlink ref="I13" r:id="rId13" display="arredondo-03-31-24-tao-te-ching-chaps-4-5-the-way-is-unimpeded-harmony"/>
    <hyperlink ref="I14" r:id="rId14" display="arredondo-03-31-24-tao-te-ching-chaps-4-5-the-way-is-unimpeded-harmony"/>
    <hyperlink ref="I15" r:id="rId15" display="arredondo-03-31-24-tao-te-ching-chaps-4-5-the-way-is-unimpeded-harmony"/>
    <hyperlink ref="I16" r:id="rId16" display="arredondo-03-31-24-tao-te-ching-chaps-4-5-the-way-is-unimpeded-harmony"/>
    <hyperlink ref="I17" r:id="rId17" display="arredondo-04-03-24-tao-te-ching-chaps-6-8-the-opening-of-the-mysterious-female"/>
    <hyperlink ref="I18" r:id="rId18" display="arredondo-04-03-24-tao-te-ching-chaps-6-8-the-opening-of-the-mysterious-female"/>
    <hyperlink ref="I19" r:id="rId19" display="arredondo-04-03-24-tao-te-ching-chaps-6-8-the-opening-of-the-mysterious-female"/>
    <hyperlink ref="I20" r:id="rId20" display="arredondo-04-03-24-tao-te-ching-chaps-6-8-the-opening-of-the-mysterious-female"/>
    <hyperlink ref="I21" r:id="rId21" display="arredondo-04-03-24-tao-te-ching-chaps-6-8-the-opening-of-the-mysterious-female"/>
    <hyperlink ref="I22" r:id="rId22" display="arredondo-04-03-24-tao-te-ching-chaps-6-8-the-opening-of-the-mysterious-female"/>
    <hyperlink ref="I23" r:id="rId23" display="arredondo-04-03-24-tao-te-ching-chaps-6-8-the-opening-of-the-mysterious-female"/>
    <hyperlink ref="I24" r:id="rId24" display="arredondo-04-03-24-tao-te-ching-chaps-6-8-the-opening-of-the-mysterious-female"/>
    <hyperlink ref="I25" r:id="rId25" display="arredondo-04-03-24-tao-te-ching-chaps-6-8-the-opening-of-the-mysterious-female"/>
    <hyperlink ref="I26" r:id="rId26" display="arredondo-04-04-24-tao-te-ching-chaps-9-10-vitality-and-consciousness-april-4-2"/>
    <hyperlink ref="I27" r:id="rId27" display="arredondo-04-04-24-tao-te-ching-chaps-9-10-vitality-and-consciousness-april-4-2"/>
    <hyperlink ref="I28" r:id="rId28" display="arredondo-04-04-24-tao-te-ching-chaps-9-10-vitality-and-consciousness-april-4-2"/>
    <hyperlink ref="I29" r:id="rId29" display="arredondo-04-04-24-tao-te-ching-chaps-9-10-vitality-and-consciousness-april-4-2"/>
    <hyperlink ref="I30" r:id="rId30" display="arredondo-04-04-24-tao-te-ching-chaps-9-10-vitality-and-consciousness-april-4-2"/>
    <hyperlink ref="I31" r:id="rId31" display="arredondo-04-04-24-tao-te-ching-chaps-9-10-vitality-and-consciousness-april-4-2"/>
    <hyperlink ref="I32" r:id="rId32" display="arredondo-04-05-24-tao-te-ching-chaps-11-13-thirty-spokes-colors-favor-and-disg"/>
    <hyperlink ref="I33" r:id="rId33" display="arredondo-04-05-24-tao-te-ching-chaps-11-13-thirty-spokes-colors-favor-and-disg"/>
    <hyperlink ref="I34" r:id="rId34" display="arredondo-04-05-24-tao-te-ching-chaps-11-13-thirty-spokes-colors-favor-and-disg"/>
    <hyperlink ref="I35" r:id="rId35" display="arredondo-04-05-24-tao-te-ching-chaps-11-13-thirty-spokes-colors-favor-and-disg"/>
    <hyperlink ref="I36" r:id="rId36" display="arredondo-04-05-24-tao-te-ching-chaps-11-13-thirty-spokes-colors-favor-and-disg"/>
    <hyperlink ref="I37" r:id="rId37" display="arredondo-04-05-24-tao-te-ching-chaps-11-13-thirty-spokes-colors-favor-and-disg"/>
    <hyperlink ref="I38" r:id="rId38" display="arredondo-04-05-24-tao-te-ching-chaps-11-13-thirty-spokes-colors-favor-and-disg"/>
    <hyperlink ref="I39" r:id="rId39" display="arredondo-04-05-24-tao-te-ching-chaps-11-13-thirty-spokes-colors-favor-and-disg"/>
    <hyperlink ref="I40" r:id="rId40" display="arredondo-04-05-24-tao-te-ching-chaps-11-13-thirty-spokes-colors-favor-and-disg"/>
    <hyperlink ref="I41" r:id="rId41" display="arredondo-04-09-24-tao-te-ching-chaps-14-15-what-you-don-t-see-skilled-warriors"/>
    <hyperlink ref="I42" r:id="rId42" display="arredondo-04-09-24-tao-te-ching-chaps-14-15-what-you-don-t-see-skilled-warriors"/>
    <hyperlink ref="I43" r:id="rId43" display="arredondo-04-09-24-tao-te-ching-chaps-14-15-what-you-don-t-see-skilled-warriors"/>
    <hyperlink ref="I44" r:id="rId44" display="arredondo-04-09-24-tao-te-ching-chaps-14-15-what-you-don-t-see-skilled-warriors"/>
    <hyperlink ref="I45" r:id="rId45" display="arredondo-04-09-24-tao-te-ching-chaps-14-15-what-you-don-t-see-skilled-warriors"/>
    <hyperlink ref="I46" r:id="rId46" display="arredondo-04-09-24-tao-te-ching-chaps-14-15-what-you-don-t-see-skilled-warriors"/>
    <hyperlink ref="I47" r:id="rId47" display="arredondo-04-10-24-tao-te-ching-chaps-16-18-april-10-2024"/>
    <hyperlink ref="I48" r:id="rId48" display="arredondo-04-10-24-tao-te-ching-chaps-16-18-april-10-2024"/>
    <hyperlink ref="I49" r:id="rId49" display="arredondo-04-10-24-tao-te-ching-chaps-16-18-april-10-2024"/>
    <hyperlink ref="I50" r:id="rId50" display="arredondo-04-10-24-tao-te-ching-chaps-16-18-april-10-2024"/>
    <hyperlink ref="I51" r:id="rId51" display="arredondo-04-10-24-tao-te-ching-chaps-16-18-april-10-2024"/>
    <hyperlink ref="I52" r:id="rId52" display="arredondo-04-10-24-tao-te-ching-chaps-16-18-april-10-2024"/>
    <hyperlink ref="I53" r:id="rId53" display="arredondo-04-10-24-tao-te-ching-chaps-16-18-april-10-2024"/>
    <hyperlink ref="I54" r:id="rId54" display="arredondo-04-10-24-tao-te-ching-chaps-16-18-april-10-2024"/>
    <hyperlink ref="I55" r:id="rId55" display="arredondo-04-10-24-tao-te-ching-chaps-16-18-april-10-2024"/>
    <hyperlink ref="I56" r:id="rId56" display="arredondo-04-11-24-tao-te-ching-chaps-19-21-april-11-2024"/>
    <hyperlink ref="I57" r:id="rId57" display="arredondo-04-11-24-tao-te-ching-chaps-19-21-april-11-2024"/>
    <hyperlink ref="I58" r:id="rId58" display="arredondo-04-11-24-tao-te-ching-chaps-19-21-april-11-2024"/>
    <hyperlink ref="I59" r:id="rId59" display="arredondo-04-11-24-tao-te-ching-chaps-19-21-april-11-2024"/>
    <hyperlink ref="I60" r:id="rId60" display="arredondo-04-11-24-tao-te-ching-chaps-19-21-april-11-2024"/>
    <hyperlink ref="I61" r:id="rId61" display="arredondo-04-11-24-tao-te-ching-chaps-19-21-april-11-2024"/>
    <hyperlink ref="I62" r:id="rId62" display="arredondo-04-11-24-tao-te-ching-chaps-19-21-april-11-2024"/>
    <hyperlink ref="I63" r:id="rId63" display="arredondo-04-11-24-tao-te-ching-chaps-19-21-april-11-2024"/>
    <hyperlink ref="I64" r:id="rId64" display="arredondo-04-11-24-tao-te-ching-chaps-19-21-april-11-2024"/>
    <hyperlink ref="I65" r:id="rId65" display="arredondo-04-12-24-tao-te-ching-chaps-22-24-be-tactful-speak-rarely-those-on-ti"/>
    <hyperlink ref="I66" r:id="rId66" display="arredondo-04-12-24-tao-te-ching-chaps-22-24-be-tactful-speak-rarely-those-on-ti"/>
    <hyperlink ref="I67" r:id="rId67" display="arredondo-04-12-24-tao-te-ching-chaps-22-24-be-tactful-speak-rarely-those-on-ti"/>
    <hyperlink ref="I68" r:id="rId68" display="arredondo-04-12-24-tao-te-ching-chaps-22-24-be-tactful-speak-rarely-those-on-ti"/>
    <hyperlink ref="I69" r:id="rId69" display="arredondo-04-12-24-tao-te-ching-chaps-22-24-be-tactful-speak-rarely-those-on-ti"/>
    <hyperlink ref="I70" r:id="rId70" display="arredondo-04-12-24-tao-te-ching-chaps-22-24-be-tactful-speak-rarely-those-on-ti"/>
    <hyperlink ref="I71" r:id="rId71" display="arredondo-04-12-24-tao-te-ching-chaps-22-24-be-tactful-speak-rarely-those-on-ti"/>
    <hyperlink ref="I72" r:id="rId72" display="arredondo-04-12-24-tao-te-ching-chaps-22-24-be-tactful-speak-rarely-those-on-ti"/>
    <hyperlink ref="I73" r:id="rId73" display="arredondo-04-12-24-tao-te-ching-chaps-22-24-be-tactful-speak-rarely-those-on-ti"/>
    <hyperlink ref="I74" r:id="rId74" display="arredondo-04-18-24-tao-te-ching-chaps-25-27-undifferentiated-root-of-lightness"/>
    <hyperlink ref="I75" r:id="rId75" display="arredondo-04-18-24-tao-te-ching-chaps-25-27-undifferentiated-root-of-lightness"/>
    <hyperlink ref="I76" r:id="rId76" display="arredondo-04-18-24-tao-te-ching-chaps-25-27-undifferentiated-root-of-lightness"/>
    <hyperlink ref="I77" r:id="rId77" display="arredondo-04-18-24-tao-te-ching-chaps-25-27-undifferentiated-root-of-lightness"/>
    <hyperlink ref="I78" r:id="rId78" display="arredondo-04-18-24-tao-te-ching-chaps-25-27-undifferentiated-root-of-lightness"/>
    <hyperlink ref="I79" r:id="rId79" display="arredondo-04-18-24-tao-te-ching-chaps-25-27-undifferentiated-root-of-lightness"/>
    <hyperlink ref="I80" r:id="rId80" display="arredondo-04-18-24-tao-te-ching-chaps-25-27-undifferentiated-root-of-lightness"/>
    <hyperlink ref="I81" r:id="rId81" display="arredondo-04-18-24-tao-te-ching-chaps-25-27-undifferentiated-root-of-lightness"/>
    <hyperlink ref="I82" r:id="rId82" display="arredondo-04-18-24-tao-te-ching-chaps-25-27-undifferentiated-root-of-lightness"/>
    <hyperlink ref="I83" r:id="rId83" display="arredondo-04-19-24-tao-te-ching-chaps-28-30-keep-to-the-female-should-you-want"/>
    <hyperlink ref="I84" r:id="rId84" display="arredondo-04-19-24-tao-te-ching-chaps-28-30-keep-to-the-female-should-you-want"/>
    <hyperlink ref="I85" r:id="rId85" display="arredondo-04-19-24-tao-te-ching-chaps-28-30-keep-to-the-female-should-you-want"/>
    <hyperlink ref="I86" r:id="rId86" display="arredondo-04-19-24-tao-te-ching-chaps-28-30-keep-to-the-female-should-you-want"/>
    <hyperlink ref="I87" r:id="rId87" display="arredondo-04-19-24-tao-te-ching-chaps-28-30-keep-to-the-female-should-you-want"/>
    <hyperlink ref="I88" r:id="rId88" display="arredondo-04-19-24-tao-te-ching-chaps-28-30-keep-to-the-female-should-you-want"/>
    <hyperlink ref="I89" r:id="rId89" display="arredondo-04-19-24-tao-te-ching-chaps-28-30-keep-to-the-female-should-you-want"/>
    <hyperlink ref="I90" r:id="rId90" display="arredondo-04-19-24-tao-te-ching-chaps-28-30-keep-to-the-female-should-you-want"/>
    <hyperlink ref="I91" r:id="rId91" display="arredondo-04-19-24-tao-te-ching-chaps-28-30-keep-to-the-female-should-you-want"/>
    <hyperlink ref="I92" r:id="rId92" display="arredondo-04-19-24-tao-te-ching-chaps-31-33-fine-weapons-eternally-nameless-tho"/>
    <hyperlink ref="I93" r:id="rId93" display="arredondo-04-19-24-tao-te-ching-chaps-31-33-fine-weapons-eternally-nameless-tho"/>
    <hyperlink ref="I94" r:id="rId94" display="arredondo-04-19-24-tao-te-ching-chaps-31-33-fine-weapons-eternally-nameless-tho"/>
    <hyperlink ref="I95" r:id="rId95" display="arredondo-04-19-24-tao-te-ching-chaps-31-33-fine-weapons-eternally-nameless-tho"/>
    <hyperlink ref="I96" r:id="rId96" display="arredondo-04-19-24-tao-te-ching-chaps-31-33-fine-weapons-eternally-nameless-tho"/>
    <hyperlink ref="I97" r:id="rId97" display="arredondo-04-19-24-tao-te-ching-chaps-31-33-fine-weapons-eternally-nameless-tho"/>
    <hyperlink ref="I98" r:id="rId98" display="arredondo-04-19-24-tao-te-ching-chaps-31-33-fine-weapons-eternally-nameless-tho"/>
    <hyperlink ref="I99" r:id="rId99" display="arredondo-04-19-24-tao-te-ching-chaps-31-33-fine-weapons-eternally-nameless-tho"/>
    <hyperlink ref="I100" r:id="rId100" display="arredondo-04-19-24-tao-te-ching-chaps-31-33-fine-weapons-eternally-nameless-tho"/>
    <hyperlink ref="I101" r:id="rId101" display="arredondo-04-24-24-tao-te-ching-chaps-34-37-universal-great-image-contain-uncon"/>
    <hyperlink ref="I102" r:id="rId102" display="arredondo-04-24-24-tao-te-ching-chaps-34-37-universal-great-image-contain-uncon"/>
    <hyperlink ref="I103" r:id="rId103" display="arredondo-04-24-24-tao-te-ching-chaps-34-37-universal-great-image-contain-uncon"/>
    <hyperlink ref="I104" r:id="rId104" display="arredondo-04-24-24-tao-te-ching-chaps-34-37-universal-great-image-contain-uncon"/>
    <hyperlink ref="I105" r:id="rId105" display="arredondo-04-24-24-tao-te-ching-chaps-34-37-universal-great-image-contain-uncon"/>
    <hyperlink ref="I106" r:id="rId106" display="arredondo-04-24-24-tao-te-ching-chaps-34-37-universal-great-image-contain-uncon"/>
    <hyperlink ref="I107" r:id="rId107" display="arredondo-04-24-24-tao-te-ching-chaps-34-37-universal-great-image-contain-uncon"/>
    <hyperlink ref="I108" r:id="rId108" display="arredondo-04-24-24-tao-te-ching-chaps-34-37-universal-great-image-contain-uncon"/>
    <hyperlink ref="I109" r:id="rId109" display="arredondo-04-24-24-tao-te-ching-chaps-34-37-universal-great-image-contain-uncon"/>
    <hyperlink ref="I110" r:id="rId110" display="arredondo-04-24-24-tao-te-ching-chaps-34-37-universal-great-image-contain-uncon"/>
    <hyperlink ref="I111" r:id="rId111" display="arredondo-04-24-24-tao-te-ching-chaps-34-37-universal-great-image-contain-uncon"/>
    <hyperlink ref="I112" r:id="rId112" display="arredondo-04-24-24-tao-te-ching-chaps-34-37-universal-great-image-contain-uncon"/>
    <hyperlink ref="I113" r:id="rId113" display="arredondo-04-25-24-tao-te-ching-chaps-38-40-not-ingratiating-attaining-unity-mo"/>
    <hyperlink ref="I114" r:id="rId114" display="arredondo-04-25-24-tao-te-ching-chaps-38-40-not-ingratiating-attaining-unity-mo"/>
    <hyperlink ref="I115" r:id="rId115" display="arredondo-04-25-24-tao-te-ching-chaps-38-40-not-ingratiating-attaining-unity-mo"/>
    <hyperlink ref="I116" r:id="rId116" display="arredondo-04-25-24-tao-te-ching-chaps-38-40-not-ingratiating-attaining-unity-mo"/>
    <hyperlink ref="I117" r:id="rId117" display="arredondo-04-25-24-tao-te-ching-chaps-38-40-not-ingratiating-attaining-unity-mo"/>
    <hyperlink ref="I118" r:id="rId118" display="arredondo-04-25-24-tao-te-ching-chaps-38-40-not-ingratiating-attaining-unity-mo"/>
    <hyperlink ref="I119" r:id="rId119" display="arredondo-04-25-24-tao-te-ching-chaps-38-40-not-ingratiating-attaining-unity-mo"/>
    <hyperlink ref="I120" r:id="rId120" display="arredondo-04-25-24-tao-te-ching-chaps-38-40-not-ingratiating-attaining-unity-mo"/>
    <hyperlink ref="I121" r:id="rId121" display="arredondo-04-25-24-tao-te-ching-chaps-38-40-not-ingratiating-attaining-unity-mo"/>
    <hyperlink ref="I122" r:id="rId122" display="arredondo-04-27-24-tao-te-ching-chaps-41-43-when-superior-people-way-produces-o"/>
    <hyperlink ref="I123" r:id="rId123" display="arredondo-04-27-24-tao-te-ching-chaps-41-43-when-superior-people-way-produces-o"/>
    <hyperlink ref="I124" r:id="rId124" display="arredondo-04-27-24-tao-te-ching-chaps-41-43-when-superior-people-way-produces-o"/>
    <hyperlink ref="I125" r:id="rId125" display="arredondo-04-27-24-tao-te-ching-chaps-41-43-when-superior-people-way-produces-o"/>
    <hyperlink ref="I126" r:id="rId126" display="arredondo-04-27-24-tao-te-ching-chaps-41-43-when-superior-people-way-produces-o"/>
    <hyperlink ref="I127" r:id="rId127" display="arredondo-04-27-24-tao-te-ching-chaps-41-43-when-superior-people-way-produces-o"/>
    <hyperlink ref="I128" r:id="rId128" display="arredondo-04-27-24-tao-te-ching-chaps-41-43-when-superior-people-way-produces-o"/>
    <hyperlink ref="I129" r:id="rId129" display="arredondo-04-27-24-tao-te-ching-chaps-41-43-when-superior-people-way-produces-o"/>
    <hyperlink ref="I130" r:id="rId130" display="arredondo-04-27-24-tao-te-ching-chaps-41-43-when-superior-people-way-produces-o"/>
    <hyperlink ref="I131" r:id="rId131" display="arredondo-05-01-24-tao-te-ching-chaps-44-47-name-or-body-great-completeness-wor"/>
    <hyperlink ref="I132" r:id="rId132" display="arredondo-05-01-24-tao-te-ching-chaps-44-47-name-or-body-great-completeness-wor"/>
    <hyperlink ref="I133" r:id="rId133" display="arredondo-05-01-24-tao-te-ching-chaps-44-47-name-or-body-great-completeness-wor"/>
    <hyperlink ref="I134" r:id="rId134" display="arredondo-05-01-24-tao-te-ching-chaps-44-47-name-or-body-great-completeness-wor"/>
    <hyperlink ref="I135" r:id="rId135" display="arredondo-05-01-24-tao-te-ching-chaps-44-47-name-or-body-great-completeness-wor"/>
    <hyperlink ref="I136" r:id="rId136" display="arredondo-05-01-24-tao-te-ching-chaps-44-47-name-or-body-great-completeness-wor"/>
    <hyperlink ref="I137" r:id="rId137" display="arredondo-05-01-24-tao-te-ching-chaps-44-47-name-or-body-great-completeness-wor"/>
    <hyperlink ref="I138" r:id="rId138" display="arredondo-05-01-24-tao-te-ching-chaps-44-47-name-or-body-great-completeness-wor"/>
    <hyperlink ref="I139" r:id="rId139" display="arredondo-05-01-24-tao-te-ching-chaps-44-47-name-or-body-great-completeness-wor"/>
    <hyperlink ref="I140" r:id="rId140" display="arredondo-05-01-24-tao-te-ching-chaps-44-47-name-or-body-great-completeness-wor"/>
    <hyperlink ref="I141" r:id="rId141" display="arredondo-05-01-24-tao-te-ching-chaps-44-47-name-or-body-great-completeness-wor"/>
    <hyperlink ref="I142" r:id="rId142" display="arredondo-05-01-24-tao-te-ching-chaps-44-47-name-or-body-great-completeness-wor"/>
    <hyperlink ref="I143" r:id="rId143" display="arredondo-05-01-24-tao-te-ching-chaps-44-47-name-or-body-great-completeness-wor"/>
    <hyperlink ref="I144" r:id="rId144" display="arredondo-05-01-24-tao-te-ching-chaps-44-47-name-or-body-great-completeness-wor"/>
    <hyperlink ref="I145" r:id="rId145" display="arredondo-05-01-24-tao-te-ching-chaps-44-47-name-or-body-great-completeness-wor"/>
    <hyperlink ref="I146" r:id="rId146" display="arredondo-05-03-24-tao-te-ching-chaps-48-50-gain-daily-sages-no-fixed-mind-from"/>
    <hyperlink ref="I147" r:id="rId147" display="arredondo-05-03-24-tao-te-ching-chaps-48-50-gain-daily-sages-no-fixed-mind-from"/>
    <hyperlink ref="I148" r:id="rId148" display="arredondo-05-03-24-tao-te-ching-chaps-48-50-gain-daily-sages-no-fixed-mind-from"/>
    <hyperlink ref="I149" r:id="rId149" display="arredondo-05-03-24-tao-te-ching-chaps-48-50-gain-daily-sages-no-fixed-mind-from"/>
    <hyperlink ref="I150" r:id="rId150" display="arredondo-05-03-24-tao-te-ching-chaps-48-50-gain-daily-sages-no-fixed-mind-from"/>
    <hyperlink ref="I151" r:id="rId151" display="arredondo-05-03-24-tao-te-ching-chaps-48-50-gain-daily-sages-no-fixed-mind-from"/>
    <hyperlink ref="I152" r:id="rId152" display="arredondo-05-03-24-tao-te-ching-chaps-48-50-gain-daily-sages-no-fixed-mind-from"/>
    <hyperlink ref="I153" r:id="rId153" display="arredondo-05-03-24-tao-te-ching-chaps-48-50-gain-daily-sages-no-fixed-mind-from"/>
    <hyperlink ref="I154" r:id="rId154" display="arredondo-05-03-24-tao-te-ching-chaps-48-50-gain-daily-sages-no-fixed-mind-from"/>
    <hyperlink ref="I155" r:id="rId155" display="arredondo-05-06-24-tao-te-ching-chaps-51-54-gives-birth-world-beginning-flashes"/>
    <hyperlink ref="I156" r:id="rId156" display="arredondo-05-06-24-tao-te-ching-chaps-51-54-gives-birth-world-beginning-flashes"/>
    <hyperlink ref="I157" r:id="rId157" display="arredondo-05-06-24-tao-te-ching-chaps-51-54-gives-birth-world-beginning-flashes"/>
    <hyperlink ref="I158" r:id="rId158" display="arredondo-05-06-24-tao-te-ching-chaps-51-54-gives-birth-world-beginning-flashes"/>
    <hyperlink ref="I159" r:id="rId159" display="arredondo-05-06-24-tao-te-ching-chaps-51-54-gives-birth-world-beginning-flashes"/>
    <hyperlink ref="I160" r:id="rId160" display="arredondo-05-06-24-tao-te-ching-chaps-51-54-gives-birth-world-beginning-flashes"/>
    <hyperlink ref="I161" r:id="rId161" display="arredondo-05-06-24-tao-te-ching-chaps-51-54-gives-birth-world-beginning-flashes"/>
    <hyperlink ref="I162" r:id="rId162" display="arredondo-05-06-24-tao-te-ching-chaps-51-54-gives-birth-world-beginning-flashes"/>
    <hyperlink ref="I163" r:id="rId163" display="arredondo-05-06-24-tao-te-ching-chaps-51-54-gives-birth-world-beginning-flashes"/>
    <hyperlink ref="I164" r:id="rId164" display="arredondo-05-07-24-tao-te-ching-chaps-55-58-subliminal-those-who-know-govern-un"/>
    <hyperlink ref="I165" r:id="rId165" display="arredondo-05-07-24-tao-te-ching-chaps-55-58-subliminal-those-who-know-govern-un"/>
    <hyperlink ref="I166" r:id="rId166" display="arredondo-05-07-24-tao-te-ching-chaps-55-58-subliminal-those-who-know-govern-un"/>
    <hyperlink ref="I167" r:id="rId167" display="arredondo-05-07-24-tao-te-ching-chaps-55-58-subliminal-those-who-know-govern-un"/>
    <hyperlink ref="I168" r:id="rId168" display="arredondo-05-07-24-tao-te-ching-chaps-55-58-subliminal-those-who-know-govern-un"/>
    <hyperlink ref="I169" r:id="rId169" display="arredondo-05-07-24-tao-te-ching-chaps-55-58-subliminal-those-who-know-govern-un"/>
    <hyperlink ref="I170" r:id="rId170" display="arredondo-05-07-24-tao-te-ching-chaps-55-58-subliminal-those-who-know-govern-un"/>
    <hyperlink ref="I171" r:id="rId171" display="arredondo-05-07-24-tao-te-ching-chaps-55-58-subliminal-those-who-know-govern-un"/>
    <hyperlink ref="I172" r:id="rId172" display="arredondo-05-07-24-tao-te-ching-chaps-55-58-subliminal-those-who-know-govern-un"/>
    <hyperlink ref="I173" r:id="rId173" display="arredondo-05-07-24-tao-te-ching-chaps-55-58-subliminal-those-who-know-govern-un"/>
    <hyperlink ref="I174" r:id="rId174" display="arredondo-05-07-24-tao-te-ching-chaps-55-58-subliminal-those-who-know-govern-un"/>
    <hyperlink ref="I175" r:id="rId175" display="arredondo-05-07-24-tao-te-ching-chaps-55-58-subliminal-those-who-know-govern-un"/>
    <hyperlink ref="I176" r:id="rId176" display="arredondo-05-08-24-tao-te-ching-chaps-59-62-govern-the-human-small-fry-great-na"/>
    <hyperlink ref="I177" r:id="rId177" display="arredondo-05-08-24-tao-te-ching-chaps-59-62-govern-the-human-small-fry-great-na"/>
    <hyperlink ref="I178" r:id="rId178" display="arredondo-05-08-24-tao-te-ching-chaps-59-62-govern-the-human-small-fry-great-na"/>
    <hyperlink ref="I179" r:id="rId179" display="arredondo-05-08-24-tao-te-ching-chaps-59-62-govern-the-human-small-fry-great-na"/>
    <hyperlink ref="I180" r:id="rId180" display="arredondo-05-08-24-tao-te-ching-chaps-59-62-govern-the-human-small-fry-great-na"/>
    <hyperlink ref="I181" r:id="rId181" display="arredondo-05-08-24-tao-te-ching-chaps-59-62-govern-the-human-small-fry-great-na"/>
    <hyperlink ref="I182" r:id="rId182" display="arredondo-05-08-24-tao-te-ching-chaps-59-62-govern-the-human-small-fry-great-na"/>
    <hyperlink ref="I183" r:id="rId183" display="arredondo-05-08-24-tao-te-ching-chaps-59-62-govern-the-human-small-fry-great-na"/>
    <hyperlink ref="I184" r:id="rId184" display="arredondo-05-08-24-tao-te-ching-chaps-59-62-govern-the-human-small-fry-great-na"/>
    <hyperlink ref="I185" r:id="rId185" display="arredondo-05-08-24-tao-te-ching-chaps-59-62-govern-the-human-small-fry-great-na"/>
    <hyperlink ref="I186" r:id="rId186" display="arredondo-05-08-24-tao-te-ching-chaps-59-62-govern-the-human-small-fry-great-na"/>
    <hyperlink ref="I187" r:id="rId187" display="arredondo-05-08-24-tao-te-ching-chaps-59-62-govern-the-human-small-fry-great-na"/>
    <hyperlink ref="I188" r:id="rId188" display="arredondo-05-09-24-tao-te-ching-chaps-63-65-do-non-doing-what-is-at-rest-good-p"/>
    <hyperlink ref="I189" r:id="rId189" display="arredondo-05-09-24-tao-te-ching-chaps-63-65-do-non-doing-what-is-at-rest-good-p"/>
    <hyperlink ref="I190" r:id="rId190" display="arredondo-05-09-24-tao-te-ching-chaps-63-65-do-non-doing-what-is-at-rest-good-p"/>
    <hyperlink ref="I191" r:id="rId191" display="arredondo-05-09-24-tao-te-ching-chaps-63-65-do-non-doing-what-is-at-rest-good-p"/>
    <hyperlink ref="I192" r:id="rId192" display="arredondo-05-09-24-tao-te-ching-chaps-63-65-do-non-doing-what-is-at-rest-good-p"/>
    <hyperlink ref="I193" r:id="rId193" display="arredondo-05-09-24-tao-te-ching-chaps-63-65-do-non-doing-what-is-at-rest-good-p"/>
    <hyperlink ref="I194" r:id="rId194" display="arredondo-05-09-24-tao-te-ching-chaps-63-65-do-non-doing-what-is-at-rest-good-p"/>
    <hyperlink ref="I195" r:id="rId195" display="arredondo-05-09-24-tao-te-ching-chaps-63-65-do-non-doing-what-is-at-rest-good-p"/>
    <hyperlink ref="I196" r:id="rId196" display="arredondo-05-09-24-tao-te-ching-chaps-63-65-do-non-doing-what-is-at-rest-good-p"/>
    <hyperlink ref="I197" r:id="rId197" display="arredondo-05-09-24-tao-te-ching-chaps-63-65-do-non-doing-what-is-at-rest-good-p"/>
    <hyperlink ref="I198" r:id="rId198" display="arredondo-05-09-24-tao-te-ching-chaps-63-65-do-non-doing-what-is-at-rest-good-p"/>
    <hyperlink ref="I199" r:id="rId199" display="arredondo-05-09-24-tao-te-ching-chaps-63-65-do-non-doing-what-is-at-rest-good-p"/>
    <hyperlink ref="I200" r:id="rId200" display="arredondo-05-10-24-tao-te-ching-chaps-66-69-rivers-seas-everyone-says-warriors"/>
    <hyperlink ref="I201" r:id="rId201" display="arredondo-05-10-24-tao-te-ching-chaps-66-69-rivers-seas-everyone-says-warriors"/>
    <hyperlink ref="I202" r:id="rId202" display="arredondo-05-10-24-tao-te-ching-chaps-66-69-rivers-seas-everyone-says-warriors"/>
    <hyperlink ref="I203" r:id="rId203" display="arredondo-05-10-24-tao-te-ching-chaps-66-69-rivers-seas-everyone-says-warriors"/>
    <hyperlink ref="I204" r:id="rId204" display="arredondo-05-10-24-tao-te-ching-chaps-66-69-rivers-seas-everyone-says-warriors"/>
    <hyperlink ref="I205" r:id="rId205" display="arredondo-05-10-24-tao-te-ching-chaps-66-69-rivers-seas-everyone-says-warriors"/>
    <hyperlink ref="I206" r:id="rId206" display="arredondo-05-10-24-tao-te-ching-chaps-66-69-rivers-seas-everyone-says-warriors"/>
    <hyperlink ref="I207" r:id="rId207" display="arredondo-05-10-24-tao-te-ching-chaps-66-69-rivers-seas-everyone-says-warriors"/>
    <hyperlink ref="I208" r:id="rId208" display="arredondo-05-10-24-tao-te-ching-chaps-66-69-rivers-seas-everyone-says-warriors"/>
    <hyperlink ref="I209" r:id="rId209" display="arredondo-05-16-24-tao-te-ching-chaps-70-73-my-sayings-knowing-unconsciously-no"/>
    <hyperlink ref="I210" r:id="rId210" display="arredondo-05-16-24-tao-te-ching-chaps-70-73-my-sayings-knowing-unconsciously-no"/>
    <hyperlink ref="I211" r:id="rId211" display="arredondo-05-16-24-tao-te-ching-chaps-70-73-my-sayings-knowing-unconsciously-no"/>
    <hyperlink ref="I212" r:id="rId212" display="arredondo-05-16-24-tao-te-ching-chaps-70-73-my-sayings-knowing-unconsciously-no"/>
    <hyperlink ref="I213" r:id="rId213" display="arredondo-05-16-24-tao-te-ching-chaps-70-73-my-sayings-knowing-unconsciously-no"/>
    <hyperlink ref="I214" r:id="rId214" display="arredondo-05-16-24-tao-te-ching-chaps-70-73-my-sayings-knowing-unconsciously-no"/>
    <hyperlink ref="I215" r:id="rId215" display="arredondo-05-16-24-tao-te-ching-chaps-70-73-my-sayings-knowing-unconsciously-no"/>
    <hyperlink ref="I216" r:id="rId216" display="arredondo-05-16-24-tao-te-ching-chaps-70-73-my-sayings-knowing-unconsciously-no"/>
    <hyperlink ref="I217" r:id="rId217" display="arredondo-05-16-24-tao-te-ching-chaps-70-73-my-sayings-knowing-unconsciously-no"/>
    <hyperlink ref="I218" r:id="rId218" display="arredondo-05-16-24-tao-te-ching-chaps-70-73-my-sayings-knowing-unconsciously-no"/>
    <hyperlink ref="I219" r:id="rId219" display="arredondo-05-16-24-tao-te-ching-chaps-70-73-my-sayings-knowing-unconsciously-no"/>
    <hyperlink ref="I220" r:id="rId220" display="arredondo-05-16-24-tao-te-ching-chaps-70-73-my-sayings-knowing-unconsciously-no"/>
    <hyperlink ref="I221" r:id="rId221" display="arredondo-05-16-24-tao-te-ching-chaps-70-73-my-sayings-knowing-unconsciously-no"/>
    <hyperlink ref="I222" r:id="rId222" display="arredondo-05-16-24-tao-te-ching-chaps-70-73-my-sayings-knowing-unconsciously-no"/>
    <hyperlink ref="I223" r:id="rId223" display="arredondo-05-16-24-tao-te-ching-chaps-70-73-my-sayings-knowing-unconsciously-no"/>
    <hyperlink ref="I224" r:id="rId224" display="arredondo-05-16-24-tao-te-ching-chaps-75-78-starvation-people-are-born-way-of-h"/>
    <hyperlink ref="I225" r:id="rId225" display="arredondo-05-16-24-tao-te-ching-chaps-75-78-starvation-people-are-born-way-of-h"/>
    <hyperlink ref="I226" r:id="rId226" display="arredondo-05-16-24-tao-te-ching-chaps-75-78-starvation-people-are-born-way-of-h"/>
    <hyperlink ref="I227" r:id="rId227" display="arredondo-05-16-24-tao-te-ching-chaps-75-78-starvation-people-are-born-way-of-h"/>
    <hyperlink ref="I228" r:id="rId228" display="arredondo-05-16-24-tao-te-ching-chaps-75-78-starvation-people-are-born-way-of-h"/>
    <hyperlink ref="I229" r:id="rId229" display="arredondo-05-16-24-tao-te-ching-chaps-75-78-starvation-people-are-born-way-of-h"/>
    <hyperlink ref="I230" r:id="rId230" display="arredondo-05-16-24-tao-te-ching-chaps-75-78-starvation-people-are-born-way-of-h"/>
    <hyperlink ref="I231" r:id="rId231" display="arredondo-05-16-24-tao-te-ching-chaps-75-78-starvation-people-are-born-way-of-h"/>
    <hyperlink ref="I232" r:id="rId232" display="arredondo-05-16-24-tao-te-ching-chaps-75-78-starvation-people-are-born-way-of-h"/>
    <hyperlink ref="I233" r:id="rId233" display="arredondo-05-16-24-tao-te-ching-chaps-75-78-starvation-people-are-born-way-of-h"/>
    <hyperlink ref="I234" r:id="rId234" display="arredondo-05-16-24-tao-te-ching-chaps-75-78-starvation-people-are-born-way-of-h"/>
    <hyperlink ref="I235" r:id="rId235" display="arredondo-05-16-24-tao-te-ching-chaps-75-78-starvation-people-are-born-way-of-h"/>
    <hyperlink ref="I236" r:id="rId236" display="arredondo-05-29-24-tao-te-ching-chaps-79-81-bitter-enemies-a-small-state-true-w"/>
    <hyperlink ref="I237" r:id="rId237" display="arredondo-05-29-24-tao-te-ching-chaps-79-81-bitter-enemies-a-small-state-true-w"/>
    <hyperlink ref="I238" r:id="rId238" display="arredondo-05-29-24-tao-te-ching-chaps-79-81-bitter-enemies-a-small-state-true-w"/>
    <hyperlink ref="I239" r:id="rId239" display="arredondo-05-29-24-tao-te-ching-chaps-79-81-bitter-enemies-a-small-state-true-w"/>
    <hyperlink ref="I240" r:id="rId240" display="arredondo-05-29-24-tao-te-ching-chaps-79-81-bitter-enemies-a-small-state-true-w"/>
    <hyperlink ref="I241" r:id="rId241" display="arredondo-05-29-24-tao-te-ching-chaps-79-81-bitter-enemies-a-small-state-true-w"/>
    <hyperlink ref="I242" r:id="rId242" display="arredondo-05-29-24-tao-te-ching-chaps-79-81-bitter-enemies-a-small-state-true-w"/>
    <hyperlink ref="I243" r:id="rId243" display="arredondo-05-29-24-tao-te-ching-chaps-79-81-bitter-enemies-a-small-state-true-w"/>
    <hyperlink ref="I244" r:id="rId244" display="arredondo-05-29-24-tao-te-ching-chaps-79-81-bitter-enemies-a-small-state-true-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5"/>
  <legacyDrawing r:id="rId2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92"/>
  </cols>
  <sheetData>
    <row r="1" customFormat="false" ht="17.35" hidden="false" customHeight="false" outlineLevel="0" collapsed="false">
      <c r="A1" s="7" t="s">
        <v>129</v>
      </c>
      <c r="B1" s="8"/>
      <c r="C1" s="8"/>
    </row>
    <row r="2" customFormat="false" ht="15" hidden="false" customHeight="false" outlineLevel="0" collapsed="false">
      <c r="A2" s="8"/>
      <c r="B2" s="8"/>
      <c r="C2" s="8"/>
    </row>
    <row r="3" customFormat="false" ht="15" hidden="false" customHeight="false" outlineLevel="0" collapsed="false">
      <c r="A3" s="9" t="s">
        <v>130</v>
      </c>
      <c r="B3" s="8"/>
      <c r="C3" s="8"/>
    </row>
    <row r="4" customFormat="false" ht="15" hidden="false" customHeight="false" outlineLevel="0" collapsed="false">
      <c r="A4" s="8" t="s">
        <v>131</v>
      </c>
      <c r="B4" s="10" t="n">
        <v>46318</v>
      </c>
      <c r="C4" s="8" t="s">
        <v>132</v>
      </c>
    </row>
    <row r="5" customFormat="false" ht="15" hidden="false" customHeight="false" outlineLevel="0" collapsed="false">
      <c r="A5" s="8"/>
      <c r="B5" s="8"/>
      <c r="C5" s="8"/>
    </row>
    <row r="6" customFormat="false" ht="15" hidden="false" customHeight="false" outlineLevel="0" collapsed="false">
      <c r="A6" s="9" t="s">
        <v>4</v>
      </c>
      <c r="B6" s="9" t="s">
        <v>133</v>
      </c>
      <c r="C6" s="9" t="s">
        <v>134</v>
      </c>
    </row>
    <row r="7" customFormat="false" ht="15" hidden="false" customHeight="false" outlineLevel="0" collapsed="false">
      <c r="A7" s="8" t="s">
        <v>13</v>
      </c>
      <c r="B7" s="11" t="n">
        <v>0</v>
      </c>
      <c r="C7" s="8" t="s">
        <v>135</v>
      </c>
    </row>
    <row r="8" customFormat="false" ht="15" hidden="false" customHeight="false" outlineLevel="0" collapsed="false">
      <c r="A8" s="8" t="s">
        <v>18</v>
      </c>
      <c r="B8" s="11" t="n">
        <v>3</v>
      </c>
      <c r="C8" s="8" t="s">
        <v>136</v>
      </c>
    </row>
    <row r="9" customFormat="false" ht="15" hidden="false" customHeight="false" outlineLevel="0" collapsed="false">
      <c r="A9" s="8" t="s">
        <v>20</v>
      </c>
      <c r="B9" s="11" t="n">
        <v>5</v>
      </c>
      <c r="C9" s="8" t="s">
        <v>137</v>
      </c>
    </row>
    <row r="10" customFormat="false" ht="15" hidden="false" customHeight="false" outlineLevel="0" collapsed="false">
      <c r="A10" s="8"/>
      <c r="B10" s="8"/>
      <c r="C10" s="8"/>
    </row>
    <row r="11" customFormat="false" ht="15" hidden="false" customHeight="false" outlineLevel="0" collapsed="false">
      <c r="A11" s="8" t="s">
        <v>138</v>
      </c>
      <c r="B11" s="11" t="n">
        <v>7</v>
      </c>
      <c r="C11" s="8" t="s">
        <v>139</v>
      </c>
    </row>
    <row r="12" customFormat="false" ht="15" hidden="false" customHeight="false" outlineLevel="0" collapsed="false">
      <c r="A12" s="8"/>
      <c r="B12" s="8"/>
      <c r="C12" s="8"/>
    </row>
    <row r="13" customFormat="false" ht="15" hidden="false" customHeight="false" outlineLevel="0" collapsed="false">
      <c r="A13" s="9" t="s">
        <v>140</v>
      </c>
      <c r="B13" s="8"/>
      <c r="C13" s="8"/>
    </row>
    <row r="14" customFormat="false" ht="15" hidden="false" customHeight="false" outlineLevel="0" collapsed="false">
      <c r="A14" s="8" t="s">
        <v>141</v>
      </c>
      <c r="B14" s="12" t="n">
        <f aca="false">COUNTA(Schedule!A2:A244)</f>
        <v>243</v>
      </c>
      <c r="C14" s="8"/>
    </row>
    <row r="15" customFormat="false" ht="15" hidden="false" customHeight="false" outlineLevel="0" collapsed="false">
      <c r="A15" s="8" t="s">
        <v>15</v>
      </c>
      <c r="B15" s="12" t="n">
        <f aca="false">COUNTIF(Schedule!J2:J244,"Released")</f>
        <v>1</v>
      </c>
      <c r="C15" s="8"/>
    </row>
    <row r="16" customFormat="false" ht="15" hidden="false" customHeight="false" outlineLevel="0" collapsed="false">
      <c r="A16" s="8" t="s">
        <v>142</v>
      </c>
      <c r="B16" s="12" t="n">
        <f aca="false">B14-B15</f>
        <v>242</v>
      </c>
      <c r="C16" s="8"/>
    </row>
    <row r="17" customFormat="false" ht="15" hidden="false" customHeight="false" outlineLevel="0" collapsed="false">
      <c r="A17" s="8" t="s">
        <v>143</v>
      </c>
      <c r="B17" s="13" t="n">
        <f aca="false">MAX(Schedule!G2:G244)</f>
        <v>46883</v>
      </c>
      <c r="C17" s="8"/>
    </row>
    <row r="18" customFormat="false" ht="15" hidden="false" customHeight="false" outlineLevel="0" collapsed="false">
      <c r="A18" s="8" t="s">
        <v>144</v>
      </c>
      <c r="B18" s="12" t="n">
        <f aca="false">IFERROR(INDEX(Schedule!A2:A244,MATCH(TRUE(),INDEX(Schedule!J2:J244&lt;&gt;"Released",0),0)),"All released")</f>
        <v>2</v>
      </c>
      <c r="C18" s="8" t="s">
        <v>145</v>
      </c>
    </row>
    <row r="19" customFormat="false" ht="15" hidden="false" customHeight="false" outlineLevel="0" collapsed="false">
      <c r="A19" s="8" t="s">
        <v>146</v>
      </c>
      <c r="B19" s="13" t="n">
        <f aca="false">IFERROR(INDEX(Schedule!G2:G244,B18),"")</f>
        <v>46321</v>
      </c>
      <c r="C19" s="8"/>
    </row>
    <row r="20" customFormat="false" ht="15" hidden="false" customHeight="false" outlineLevel="0" collapsed="false">
      <c r="A20" s="8"/>
      <c r="B20" s="8"/>
      <c r="C20" s="8"/>
    </row>
    <row r="21" customFormat="false" ht="15" hidden="false" customHeight="false" outlineLevel="0" collapsed="false">
      <c r="A21" s="9" t="s">
        <v>147</v>
      </c>
      <c r="B21" s="8"/>
      <c r="C21" s="8"/>
    </row>
    <row r="22" customFormat="false" ht="15" hidden="false" customHeight="false" outlineLevel="0" collapsed="false">
      <c r="A22" s="8" t="s">
        <v>148</v>
      </c>
      <c r="B22" s="8"/>
      <c r="C22" s="8"/>
    </row>
    <row r="23" customFormat="false" ht="15" hidden="false" customHeight="false" outlineLevel="0" collapsed="false">
      <c r="A23" s="8" t="s">
        <v>149</v>
      </c>
      <c r="B23" s="8"/>
      <c r="C23" s="8"/>
    </row>
    <row r="24" customFormat="false" ht="15" hidden="false" customHeight="false" outlineLevel="0" collapsed="false">
      <c r="A24" s="8" t="s">
        <v>150</v>
      </c>
      <c r="B24" s="8"/>
      <c r="C2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2026-10-24T17:42:20Z</dcterms:created>
  <dc:creator>openpyxl</dc:creator>
  <dc:description/>
  <dc:language>en-US</dc:language>
  <cp:lastModifiedBy/>
  <dcterms:modified xsi:type="dcterms:W3CDTF">2026-10-24T17:42:20Z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