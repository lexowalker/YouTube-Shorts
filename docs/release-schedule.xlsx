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Settings" sheetId="2" state="visible" r:id="rId2"/>
  </sheets>
  <definedNames>
    <definedName name="_xlnm._FilterDatabase" localSheetId="0" hidden="1">'Schedule'!$A$1:$M$244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 mmm\ yyyy"/>
    <numFmt numFmtId="165" formatCode="ddd\ d\ mmm\ yyyy"/>
    <numFmt numFmtId="166" formatCode="d mmm yyyy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1155CC"/>
      <sz val="10"/>
      <u val="single"/>
    </font>
    <font>
      <name val="Arial"/>
      <family val="2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1" fontId="5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49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1" fontId="5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166" fontId="5" fillId="0" borderId="1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49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EDE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F3EDE0"/>
        </patternFill>
      </fill>
    </dxf>
    <dxf>
      <fill>
        <patternFill>
          <bgColor rgb="FFD9EAD3"/>
        </patternFill>
      </fill>
    </dxf>
    <dxf>
      <fill>
        <patternFill>
          <bgColor rgb="FFCFE2F3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CC00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FE2F3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DE0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C2" authorId="0" shapeId="0">
      <text>
        <t>Chapter numbers are inputs. Titles and source videos come from the item descriptions on archive.org.</t>
      </text>
    </comment>
    <comment ref="G2" authorId="0" shapeId="0">
      <text>
        <t>Settings first release date + (week − 1) × days between chapters + the type's offset. Red = past due and not released.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rchive.org/details/arredondo-03-27-24-tao-te-ching-chap-1-the-gateway-of-marvels-3-27-2024" TargetMode="External" Id="rId1"/><Relationship Type="http://schemas.openxmlformats.org/officeDocument/2006/relationships/hyperlink" Target="https://archive.org/details/arredondo-03-27-24-tao-te-ching-chap-1-the-gateway-of-marvels-3-27-2024" TargetMode="External" Id="rId2"/><Relationship Type="http://schemas.openxmlformats.org/officeDocument/2006/relationships/hyperlink" Target="https://archive.org/details/arredondo-03-27-24-tao-te-ching-chap-1-the-gateway-of-marvels-3-27-2024" TargetMode="External" Id="rId3"/><Relationship Type="http://schemas.openxmlformats.org/officeDocument/2006/relationships/hyperlink" Target="https://archive.org/details/arredondo-03-28-24-tao-te-ching-chaps-2-3-when-everyone-knows-beauty-is-beauty" TargetMode="External" Id="rId4"/><Relationship Type="http://schemas.openxmlformats.org/officeDocument/2006/relationships/hyperlink" Target="https://archive.org/details/arredondo-03-28-24-tao-te-ching-chaps-2-3-when-everyone-knows-beauty-is-beauty" TargetMode="External" Id="rId5"/><Relationship Type="http://schemas.openxmlformats.org/officeDocument/2006/relationships/hyperlink" Target="https://archive.org/details/arredondo-03-28-24-tao-te-ching-chaps-2-3-when-everyone-knows-beauty-is-beauty" TargetMode="External" Id="rId6"/><Relationship Type="http://schemas.openxmlformats.org/officeDocument/2006/relationships/hyperlink" Target="https://archive.org/details/arredondo-03-28-24-tao-te-ching-chaps-2-3-when-everyone-knows-beauty-is-beauty" TargetMode="External" Id="rId7"/><Relationship Type="http://schemas.openxmlformats.org/officeDocument/2006/relationships/hyperlink" Target="https://archive.org/details/arredondo-03-28-24-tao-te-ching-chaps-2-3-when-everyone-knows-beauty-is-beauty" TargetMode="External" Id="rId8"/><Relationship Type="http://schemas.openxmlformats.org/officeDocument/2006/relationships/hyperlink" Target="https://archive.org/details/arredondo-03-28-24-tao-te-ching-chaps-2-3-when-everyone-knows-beauty-is-beauty" TargetMode="External" Id="rId9"/><Relationship Type="http://schemas.openxmlformats.org/officeDocument/2006/relationships/hyperlink" Target="https://archive.org/details/arredondo-03-31-24-tao-te-ching-chaps-4-5-the-way-is-unimpeded-harmony" TargetMode="External" Id="rId10"/><Relationship Type="http://schemas.openxmlformats.org/officeDocument/2006/relationships/hyperlink" Target="https://archive.org/details/arredondo-03-31-24-tao-te-ching-chaps-4-5-the-way-is-unimpeded-harmony" TargetMode="External" Id="rId11"/><Relationship Type="http://schemas.openxmlformats.org/officeDocument/2006/relationships/hyperlink" Target="https://archive.org/details/arredondo-03-31-24-tao-te-ching-chaps-4-5-the-way-is-unimpeded-harmony" TargetMode="External" Id="rId12"/><Relationship Type="http://schemas.openxmlformats.org/officeDocument/2006/relationships/hyperlink" Target="https://archive.org/details/arredondo-03-31-24-tao-te-ching-chaps-4-5-the-way-is-unimpeded-harmony" TargetMode="External" Id="rId13"/><Relationship Type="http://schemas.openxmlformats.org/officeDocument/2006/relationships/hyperlink" Target="https://archive.org/details/arredondo-03-31-24-tao-te-ching-chaps-4-5-the-way-is-unimpeded-harmony" TargetMode="External" Id="rId14"/><Relationship Type="http://schemas.openxmlformats.org/officeDocument/2006/relationships/hyperlink" Target="https://archive.org/details/arredondo-03-31-24-tao-te-ching-chaps-4-5-the-way-is-unimpeded-harmony" TargetMode="External" Id="rId15"/><Relationship Type="http://schemas.openxmlformats.org/officeDocument/2006/relationships/hyperlink" Target="https://archive.org/details/arredondo-04-03-24-tao-te-ching-chaps-6-8-the-opening-of-the-mysterious-female" TargetMode="External" Id="rId16"/><Relationship Type="http://schemas.openxmlformats.org/officeDocument/2006/relationships/hyperlink" Target="https://archive.org/details/arredondo-04-03-24-tao-te-ching-chaps-6-8-the-opening-of-the-mysterious-female" TargetMode="External" Id="rId17"/><Relationship Type="http://schemas.openxmlformats.org/officeDocument/2006/relationships/hyperlink" Target="https://archive.org/details/arredondo-04-03-24-tao-te-ching-chaps-6-8-the-opening-of-the-mysterious-female" TargetMode="External" Id="rId18"/><Relationship Type="http://schemas.openxmlformats.org/officeDocument/2006/relationships/hyperlink" Target="https://archive.org/details/arredondo-04-03-24-tao-te-ching-chaps-6-8-the-opening-of-the-mysterious-female" TargetMode="External" Id="rId19"/><Relationship Type="http://schemas.openxmlformats.org/officeDocument/2006/relationships/hyperlink" Target="https://archive.org/details/arredondo-04-03-24-tao-te-ching-chaps-6-8-the-opening-of-the-mysterious-female" TargetMode="External" Id="rId20"/><Relationship Type="http://schemas.openxmlformats.org/officeDocument/2006/relationships/hyperlink" Target="https://archive.org/details/arredondo-04-03-24-tao-te-ching-chaps-6-8-the-opening-of-the-mysterious-female" TargetMode="External" Id="rId21"/><Relationship Type="http://schemas.openxmlformats.org/officeDocument/2006/relationships/hyperlink" Target="https://archive.org/details/arredondo-04-03-24-tao-te-ching-chaps-6-8-the-opening-of-the-mysterious-female" TargetMode="External" Id="rId22"/><Relationship Type="http://schemas.openxmlformats.org/officeDocument/2006/relationships/hyperlink" Target="https://archive.org/details/arredondo-04-03-24-tao-te-ching-chaps-6-8-the-opening-of-the-mysterious-female" TargetMode="External" Id="rId23"/><Relationship Type="http://schemas.openxmlformats.org/officeDocument/2006/relationships/hyperlink" Target="https://archive.org/details/arredondo-04-03-24-tao-te-ching-chaps-6-8-the-opening-of-the-mysterious-female" TargetMode="External" Id="rId24"/><Relationship Type="http://schemas.openxmlformats.org/officeDocument/2006/relationships/hyperlink" Target="https://archive.org/details/arredondo-04-04-24-tao-te-ching-chaps-9-10-vitality-and-consciousness-april-4-2" TargetMode="External" Id="rId25"/><Relationship Type="http://schemas.openxmlformats.org/officeDocument/2006/relationships/hyperlink" Target="https://archive.org/details/arredondo-04-04-24-tao-te-ching-chaps-9-10-vitality-and-consciousness-april-4-2" TargetMode="External" Id="rId26"/><Relationship Type="http://schemas.openxmlformats.org/officeDocument/2006/relationships/hyperlink" Target="https://archive.org/details/arredondo-04-04-24-tao-te-ching-chaps-9-10-vitality-and-consciousness-april-4-2" TargetMode="External" Id="rId27"/><Relationship Type="http://schemas.openxmlformats.org/officeDocument/2006/relationships/hyperlink" Target="https://archive.org/details/arredondo-04-04-24-tao-te-ching-chaps-9-10-vitality-and-consciousness-april-4-2" TargetMode="External" Id="rId28"/><Relationship Type="http://schemas.openxmlformats.org/officeDocument/2006/relationships/hyperlink" Target="https://archive.org/details/arredondo-04-04-24-tao-te-ching-chaps-9-10-vitality-and-consciousness-april-4-2" TargetMode="External" Id="rId29"/><Relationship Type="http://schemas.openxmlformats.org/officeDocument/2006/relationships/hyperlink" Target="https://archive.org/details/arredondo-04-04-24-tao-te-ching-chaps-9-10-vitality-and-consciousness-april-4-2" TargetMode="External" Id="rId30"/><Relationship Type="http://schemas.openxmlformats.org/officeDocument/2006/relationships/hyperlink" Target="https://archive.org/details/arredondo-04-05-24-tao-te-ching-chaps-11-13-thirty-spokes-colors-favor-and-disg" TargetMode="External" Id="rId31"/><Relationship Type="http://schemas.openxmlformats.org/officeDocument/2006/relationships/hyperlink" Target="https://archive.org/details/arredondo-04-05-24-tao-te-ching-chaps-11-13-thirty-spokes-colors-favor-and-disg" TargetMode="External" Id="rId32"/><Relationship Type="http://schemas.openxmlformats.org/officeDocument/2006/relationships/hyperlink" Target="https://archive.org/details/arredondo-04-05-24-tao-te-ching-chaps-11-13-thirty-spokes-colors-favor-and-disg" TargetMode="External" Id="rId33"/><Relationship Type="http://schemas.openxmlformats.org/officeDocument/2006/relationships/hyperlink" Target="https://archive.org/details/arredondo-04-05-24-tao-te-ching-chaps-11-13-thirty-spokes-colors-favor-and-disg" TargetMode="External" Id="rId34"/><Relationship Type="http://schemas.openxmlformats.org/officeDocument/2006/relationships/hyperlink" Target="https://archive.org/details/arredondo-04-05-24-tao-te-ching-chaps-11-13-thirty-spokes-colors-favor-and-disg" TargetMode="External" Id="rId35"/><Relationship Type="http://schemas.openxmlformats.org/officeDocument/2006/relationships/hyperlink" Target="https://archive.org/details/arredondo-04-05-24-tao-te-ching-chaps-11-13-thirty-spokes-colors-favor-and-disg" TargetMode="External" Id="rId36"/><Relationship Type="http://schemas.openxmlformats.org/officeDocument/2006/relationships/hyperlink" Target="https://archive.org/details/arredondo-04-05-24-tao-te-ching-chaps-11-13-thirty-spokes-colors-favor-and-disg" TargetMode="External" Id="rId37"/><Relationship Type="http://schemas.openxmlformats.org/officeDocument/2006/relationships/hyperlink" Target="https://archive.org/details/arredondo-04-05-24-tao-te-ching-chaps-11-13-thirty-spokes-colors-favor-and-disg" TargetMode="External" Id="rId38"/><Relationship Type="http://schemas.openxmlformats.org/officeDocument/2006/relationships/hyperlink" Target="https://archive.org/details/arredondo-04-05-24-tao-te-ching-chaps-11-13-thirty-spokes-colors-favor-and-disg" TargetMode="External" Id="rId39"/><Relationship Type="http://schemas.openxmlformats.org/officeDocument/2006/relationships/hyperlink" Target="https://archive.org/details/arredondo-04-09-24-tao-te-ching-chaps-14-15-what-you-don-t-see-skilled-warriors" TargetMode="External" Id="rId40"/><Relationship Type="http://schemas.openxmlformats.org/officeDocument/2006/relationships/hyperlink" Target="https://archive.org/details/arredondo-04-09-24-tao-te-ching-chaps-14-15-what-you-don-t-see-skilled-warriors" TargetMode="External" Id="rId41"/><Relationship Type="http://schemas.openxmlformats.org/officeDocument/2006/relationships/hyperlink" Target="https://archive.org/details/arredondo-04-09-24-tao-te-ching-chaps-14-15-what-you-don-t-see-skilled-warriors" TargetMode="External" Id="rId42"/><Relationship Type="http://schemas.openxmlformats.org/officeDocument/2006/relationships/hyperlink" Target="https://archive.org/details/arredondo-04-09-24-tao-te-ching-chaps-14-15-what-you-don-t-see-skilled-warriors" TargetMode="External" Id="rId43"/><Relationship Type="http://schemas.openxmlformats.org/officeDocument/2006/relationships/hyperlink" Target="https://archive.org/details/arredondo-04-09-24-tao-te-ching-chaps-14-15-what-you-don-t-see-skilled-warriors" TargetMode="External" Id="rId44"/><Relationship Type="http://schemas.openxmlformats.org/officeDocument/2006/relationships/hyperlink" Target="https://archive.org/details/arredondo-04-09-24-tao-te-ching-chaps-14-15-what-you-don-t-see-skilled-warriors" TargetMode="External" Id="rId45"/><Relationship Type="http://schemas.openxmlformats.org/officeDocument/2006/relationships/hyperlink" Target="https://archive.org/details/arredondo-04-10-24-tao-te-ching-chaps-16-18-april-10-2024" TargetMode="External" Id="rId46"/><Relationship Type="http://schemas.openxmlformats.org/officeDocument/2006/relationships/hyperlink" Target="https://archive.org/details/arredondo-04-10-24-tao-te-ching-chaps-16-18-april-10-2024" TargetMode="External" Id="rId47"/><Relationship Type="http://schemas.openxmlformats.org/officeDocument/2006/relationships/hyperlink" Target="https://archive.org/details/arredondo-04-10-24-tao-te-ching-chaps-16-18-april-10-2024" TargetMode="External" Id="rId48"/><Relationship Type="http://schemas.openxmlformats.org/officeDocument/2006/relationships/hyperlink" Target="https://archive.org/details/arredondo-04-10-24-tao-te-ching-chaps-16-18-april-10-2024" TargetMode="External" Id="rId49"/><Relationship Type="http://schemas.openxmlformats.org/officeDocument/2006/relationships/hyperlink" Target="https://archive.org/details/arredondo-04-10-24-tao-te-ching-chaps-16-18-april-10-2024" TargetMode="External" Id="rId50"/><Relationship Type="http://schemas.openxmlformats.org/officeDocument/2006/relationships/hyperlink" Target="https://archive.org/details/arredondo-04-10-24-tao-te-ching-chaps-16-18-april-10-2024" TargetMode="External" Id="rId51"/><Relationship Type="http://schemas.openxmlformats.org/officeDocument/2006/relationships/hyperlink" Target="https://archive.org/details/arredondo-04-10-24-tao-te-ching-chaps-16-18-april-10-2024" TargetMode="External" Id="rId52"/><Relationship Type="http://schemas.openxmlformats.org/officeDocument/2006/relationships/hyperlink" Target="https://archive.org/details/arredondo-04-10-24-tao-te-ching-chaps-16-18-april-10-2024" TargetMode="External" Id="rId53"/><Relationship Type="http://schemas.openxmlformats.org/officeDocument/2006/relationships/hyperlink" Target="https://archive.org/details/arredondo-04-10-24-tao-te-ching-chaps-16-18-april-10-2024" TargetMode="External" Id="rId54"/><Relationship Type="http://schemas.openxmlformats.org/officeDocument/2006/relationships/hyperlink" Target="https://archive.org/details/arredondo-04-11-24-tao-te-ching-chaps-19-21-april-11-2024" TargetMode="External" Id="rId55"/><Relationship Type="http://schemas.openxmlformats.org/officeDocument/2006/relationships/hyperlink" Target="https://archive.org/details/arredondo-04-11-24-tao-te-ching-chaps-19-21-april-11-2024" TargetMode="External" Id="rId56"/><Relationship Type="http://schemas.openxmlformats.org/officeDocument/2006/relationships/hyperlink" Target="https://archive.org/details/arredondo-04-11-24-tao-te-ching-chaps-19-21-april-11-2024" TargetMode="External" Id="rId57"/><Relationship Type="http://schemas.openxmlformats.org/officeDocument/2006/relationships/hyperlink" Target="https://archive.org/details/arredondo-04-11-24-tao-te-ching-chaps-19-21-april-11-2024" TargetMode="External" Id="rId58"/><Relationship Type="http://schemas.openxmlformats.org/officeDocument/2006/relationships/hyperlink" Target="https://archive.org/details/arredondo-04-11-24-tao-te-ching-chaps-19-21-april-11-2024" TargetMode="External" Id="rId59"/><Relationship Type="http://schemas.openxmlformats.org/officeDocument/2006/relationships/hyperlink" Target="https://archive.org/details/arredondo-04-11-24-tao-te-ching-chaps-19-21-april-11-2024" TargetMode="External" Id="rId60"/><Relationship Type="http://schemas.openxmlformats.org/officeDocument/2006/relationships/hyperlink" Target="https://archive.org/details/arredondo-04-11-24-tao-te-ching-chaps-19-21-april-11-2024" TargetMode="External" Id="rId61"/><Relationship Type="http://schemas.openxmlformats.org/officeDocument/2006/relationships/hyperlink" Target="https://archive.org/details/arredondo-04-11-24-tao-te-ching-chaps-19-21-april-11-2024" TargetMode="External" Id="rId62"/><Relationship Type="http://schemas.openxmlformats.org/officeDocument/2006/relationships/hyperlink" Target="https://archive.org/details/arredondo-04-11-24-tao-te-ching-chaps-19-21-april-11-2024" TargetMode="External" Id="rId63"/><Relationship Type="http://schemas.openxmlformats.org/officeDocument/2006/relationships/hyperlink" Target="https://archive.org/details/arredondo-04-12-24-tao-te-ching-chaps-22-24-be-tactful-speak-rarely-those-on-ti" TargetMode="External" Id="rId64"/><Relationship Type="http://schemas.openxmlformats.org/officeDocument/2006/relationships/hyperlink" Target="https://archive.org/details/arredondo-04-12-24-tao-te-ching-chaps-22-24-be-tactful-speak-rarely-those-on-ti" TargetMode="External" Id="rId65"/><Relationship Type="http://schemas.openxmlformats.org/officeDocument/2006/relationships/hyperlink" Target="https://archive.org/details/arredondo-04-12-24-tao-te-ching-chaps-22-24-be-tactful-speak-rarely-those-on-ti" TargetMode="External" Id="rId66"/><Relationship Type="http://schemas.openxmlformats.org/officeDocument/2006/relationships/hyperlink" Target="https://archive.org/details/arredondo-04-12-24-tao-te-ching-chaps-22-24-be-tactful-speak-rarely-those-on-ti" TargetMode="External" Id="rId67"/><Relationship Type="http://schemas.openxmlformats.org/officeDocument/2006/relationships/hyperlink" Target="https://archive.org/details/arredondo-04-12-24-tao-te-ching-chaps-22-24-be-tactful-speak-rarely-those-on-ti" TargetMode="External" Id="rId68"/><Relationship Type="http://schemas.openxmlformats.org/officeDocument/2006/relationships/hyperlink" Target="https://archive.org/details/arredondo-04-12-24-tao-te-ching-chaps-22-24-be-tactful-speak-rarely-those-on-ti" TargetMode="External" Id="rId69"/><Relationship Type="http://schemas.openxmlformats.org/officeDocument/2006/relationships/hyperlink" Target="https://archive.org/details/arredondo-04-12-24-tao-te-ching-chaps-22-24-be-tactful-speak-rarely-those-on-ti" TargetMode="External" Id="rId70"/><Relationship Type="http://schemas.openxmlformats.org/officeDocument/2006/relationships/hyperlink" Target="https://archive.org/details/arredondo-04-12-24-tao-te-ching-chaps-22-24-be-tactful-speak-rarely-those-on-ti" TargetMode="External" Id="rId71"/><Relationship Type="http://schemas.openxmlformats.org/officeDocument/2006/relationships/hyperlink" Target="https://archive.org/details/arredondo-04-12-24-tao-te-ching-chaps-22-24-be-tactful-speak-rarely-those-on-ti" TargetMode="External" Id="rId72"/><Relationship Type="http://schemas.openxmlformats.org/officeDocument/2006/relationships/hyperlink" Target="https://archive.org/details/arredondo-04-18-24-tao-te-ching-chaps-25-27-undifferentiated-root-of-lightness" TargetMode="External" Id="rId73"/><Relationship Type="http://schemas.openxmlformats.org/officeDocument/2006/relationships/hyperlink" Target="https://archive.org/details/arredondo-04-18-24-tao-te-ching-chaps-25-27-undifferentiated-root-of-lightness" TargetMode="External" Id="rId74"/><Relationship Type="http://schemas.openxmlformats.org/officeDocument/2006/relationships/hyperlink" Target="https://archive.org/details/arredondo-04-18-24-tao-te-ching-chaps-25-27-undifferentiated-root-of-lightness" TargetMode="External" Id="rId75"/><Relationship Type="http://schemas.openxmlformats.org/officeDocument/2006/relationships/hyperlink" Target="https://archive.org/details/arredondo-04-18-24-tao-te-ching-chaps-25-27-undifferentiated-root-of-lightness" TargetMode="External" Id="rId76"/><Relationship Type="http://schemas.openxmlformats.org/officeDocument/2006/relationships/hyperlink" Target="https://archive.org/details/arredondo-04-18-24-tao-te-ching-chaps-25-27-undifferentiated-root-of-lightness" TargetMode="External" Id="rId77"/><Relationship Type="http://schemas.openxmlformats.org/officeDocument/2006/relationships/hyperlink" Target="https://archive.org/details/arredondo-04-18-24-tao-te-ching-chaps-25-27-undifferentiated-root-of-lightness" TargetMode="External" Id="rId78"/><Relationship Type="http://schemas.openxmlformats.org/officeDocument/2006/relationships/hyperlink" Target="https://archive.org/details/arredondo-04-18-24-tao-te-ching-chaps-25-27-undifferentiated-root-of-lightness" TargetMode="External" Id="rId79"/><Relationship Type="http://schemas.openxmlformats.org/officeDocument/2006/relationships/hyperlink" Target="https://archive.org/details/arredondo-04-18-24-tao-te-ching-chaps-25-27-undifferentiated-root-of-lightness" TargetMode="External" Id="rId80"/><Relationship Type="http://schemas.openxmlformats.org/officeDocument/2006/relationships/hyperlink" Target="https://archive.org/details/arredondo-04-18-24-tao-te-ching-chaps-25-27-undifferentiated-root-of-lightness" TargetMode="External" Id="rId81"/><Relationship Type="http://schemas.openxmlformats.org/officeDocument/2006/relationships/hyperlink" Target="https://archive.org/details/arredondo-04-19-24-tao-te-ching-chaps-28-30-keep-to-the-female-should-you-want" TargetMode="External" Id="rId82"/><Relationship Type="http://schemas.openxmlformats.org/officeDocument/2006/relationships/hyperlink" Target="https://archive.org/details/arredondo-04-19-24-tao-te-ching-chaps-28-30-keep-to-the-female-should-you-want" TargetMode="External" Id="rId83"/><Relationship Type="http://schemas.openxmlformats.org/officeDocument/2006/relationships/hyperlink" Target="https://archive.org/details/arredondo-04-19-24-tao-te-ching-chaps-28-30-keep-to-the-female-should-you-want" TargetMode="External" Id="rId84"/><Relationship Type="http://schemas.openxmlformats.org/officeDocument/2006/relationships/hyperlink" Target="https://archive.org/details/arredondo-04-19-24-tao-te-ching-chaps-28-30-keep-to-the-female-should-you-want" TargetMode="External" Id="rId85"/><Relationship Type="http://schemas.openxmlformats.org/officeDocument/2006/relationships/hyperlink" Target="https://archive.org/details/arredondo-04-19-24-tao-te-ching-chaps-28-30-keep-to-the-female-should-you-want" TargetMode="External" Id="rId86"/><Relationship Type="http://schemas.openxmlformats.org/officeDocument/2006/relationships/hyperlink" Target="https://archive.org/details/arredondo-04-19-24-tao-te-ching-chaps-28-30-keep-to-the-female-should-you-want" TargetMode="External" Id="rId87"/><Relationship Type="http://schemas.openxmlformats.org/officeDocument/2006/relationships/hyperlink" Target="https://archive.org/details/arredondo-04-19-24-tao-te-ching-chaps-28-30-keep-to-the-female-should-you-want" TargetMode="External" Id="rId88"/><Relationship Type="http://schemas.openxmlformats.org/officeDocument/2006/relationships/hyperlink" Target="https://archive.org/details/arredondo-04-19-24-tao-te-ching-chaps-28-30-keep-to-the-female-should-you-want" TargetMode="External" Id="rId89"/><Relationship Type="http://schemas.openxmlformats.org/officeDocument/2006/relationships/hyperlink" Target="https://archive.org/details/arredondo-04-19-24-tao-te-ching-chaps-28-30-keep-to-the-female-should-you-want" TargetMode="External" Id="rId90"/><Relationship Type="http://schemas.openxmlformats.org/officeDocument/2006/relationships/hyperlink" Target="https://archive.org/details/arredondo-04-19-24-tao-te-ching-chaps-31-33-fine-weapons-eternally-nameless-tho" TargetMode="External" Id="rId91"/><Relationship Type="http://schemas.openxmlformats.org/officeDocument/2006/relationships/hyperlink" Target="https://archive.org/details/arredondo-04-19-24-tao-te-ching-chaps-31-33-fine-weapons-eternally-nameless-tho" TargetMode="External" Id="rId92"/><Relationship Type="http://schemas.openxmlformats.org/officeDocument/2006/relationships/hyperlink" Target="https://archive.org/details/arredondo-04-19-24-tao-te-ching-chaps-31-33-fine-weapons-eternally-nameless-tho" TargetMode="External" Id="rId93"/><Relationship Type="http://schemas.openxmlformats.org/officeDocument/2006/relationships/hyperlink" Target="https://archive.org/details/arredondo-04-19-24-tao-te-ching-chaps-31-33-fine-weapons-eternally-nameless-tho" TargetMode="External" Id="rId94"/><Relationship Type="http://schemas.openxmlformats.org/officeDocument/2006/relationships/hyperlink" Target="https://archive.org/details/arredondo-04-19-24-tao-te-ching-chaps-31-33-fine-weapons-eternally-nameless-tho" TargetMode="External" Id="rId95"/><Relationship Type="http://schemas.openxmlformats.org/officeDocument/2006/relationships/hyperlink" Target="https://archive.org/details/arredondo-04-19-24-tao-te-ching-chaps-31-33-fine-weapons-eternally-nameless-tho" TargetMode="External" Id="rId96"/><Relationship Type="http://schemas.openxmlformats.org/officeDocument/2006/relationships/hyperlink" Target="https://archive.org/details/arredondo-04-19-24-tao-te-ching-chaps-31-33-fine-weapons-eternally-nameless-tho" TargetMode="External" Id="rId97"/><Relationship Type="http://schemas.openxmlformats.org/officeDocument/2006/relationships/hyperlink" Target="https://archive.org/details/arredondo-04-19-24-tao-te-ching-chaps-31-33-fine-weapons-eternally-nameless-tho" TargetMode="External" Id="rId98"/><Relationship Type="http://schemas.openxmlformats.org/officeDocument/2006/relationships/hyperlink" Target="https://archive.org/details/arredondo-04-19-24-tao-te-ching-chaps-31-33-fine-weapons-eternally-nameless-tho" TargetMode="External" Id="rId99"/><Relationship Type="http://schemas.openxmlformats.org/officeDocument/2006/relationships/hyperlink" Target="https://archive.org/details/arredondo-04-24-24-tao-te-ching-chaps-34-37-universal-great-image-contain-uncon" TargetMode="External" Id="rId100"/><Relationship Type="http://schemas.openxmlformats.org/officeDocument/2006/relationships/hyperlink" Target="https://archive.org/details/arredondo-04-24-24-tao-te-ching-chaps-34-37-universal-great-image-contain-uncon" TargetMode="External" Id="rId101"/><Relationship Type="http://schemas.openxmlformats.org/officeDocument/2006/relationships/hyperlink" Target="https://archive.org/details/arredondo-04-24-24-tao-te-ching-chaps-34-37-universal-great-image-contain-uncon" TargetMode="External" Id="rId102"/><Relationship Type="http://schemas.openxmlformats.org/officeDocument/2006/relationships/hyperlink" Target="https://archive.org/details/arredondo-04-24-24-tao-te-ching-chaps-34-37-universal-great-image-contain-uncon" TargetMode="External" Id="rId103"/><Relationship Type="http://schemas.openxmlformats.org/officeDocument/2006/relationships/hyperlink" Target="https://archive.org/details/arredondo-04-24-24-tao-te-ching-chaps-34-37-universal-great-image-contain-uncon" TargetMode="External" Id="rId104"/><Relationship Type="http://schemas.openxmlformats.org/officeDocument/2006/relationships/hyperlink" Target="https://archive.org/details/arredondo-04-24-24-tao-te-ching-chaps-34-37-universal-great-image-contain-uncon" TargetMode="External" Id="rId105"/><Relationship Type="http://schemas.openxmlformats.org/officeDocument/2006/relationships/hyperlink" Target="https://archive.org/details/arredondo-04-24-24-tao-te-ching-chaps-34-37-universal-great-image-contain-uncon" TargetMode="External" Id="rId106"/><Relationship Type="http://schemas.openxmlformats.org/officeDocument/2006/relationships/hyperlink" Target="https://archive.org/details/arredondo-04-24-24-tao-te-ching-chaps-34-37-universal-great-image-contain-uncon" TargetMode="External" Id="rId107"/><Relationship Type="http://schemas.openxmlformats.org/officeDocument/2006/relationships/hyperlink" Target="https://archive.org/details/arredondo-04-24-24-tao-te-ching-chaps-34-37-universal-great-image-contain-uncon" TargetMode="External" Id="rId108"/><Relationship Type="http://schemas.openxmlformats.org/officeDocument/2006/relationships/hyperlink" Target="https://archive.org/details/arredondo-04-24-24-tao-te-ching-chaps-34-37-universal-great-image-contain-uncon" TargetMode="External" Id="rId109"/><Relationship Type="http://schemas.openxmlformats.org/officeDocument/2006/relationships/hyperlink" Target="https://archive.org/details/arredondo-04-24-24-tao-te-ching-chaps-34-37-universal-great-image-contain-uncon" TargetMode="External" Id="rId110"/><Relationship Type="http://schemas.openxmlformats.org/officeDocument/2006/relationships/hyperlink" Target="https://archive.org/details/arredondo-04-24-24-tao-te-ching-chaps-34-37-universal-great-image-contain-uncon" TargetMode="External" Id="rId111"/><Relationship Type="http://schemas.openxmlformats.org/officeDocument/2006/relationships/hyperlink" Target="https://archive.org/details/arredondo-04-25-24-tao-te-ching-chaps-38-40-not-ingratiating-attaining-unity-mo" TargetMode="External" Id="rId112"/><Relationship Type="http://schemas.openxmlformats.org/officeDocument/2006/relationships/hyperlink" Target="https://archive.org/details/arredondo-04-25-24-tao-te-ching-chaps-38-40-not-ingratiating-attaining-unity-mo" TargetMode="External" Id="rId113"/><Relationship Type="http://schemas.openxmlformats.org/officeDocument/2006/relationships/hyperlink" Target="https://archive.org/details/arredondo-04-25-24-tao-te-ching-chaps-38-40-not-ingratiating-attaining-unity-mo" TargetMode="External" Id="rId114"/><Relationship Type="http://schemas.openxmlformats.org/officeDocument/2006/relationships/hyperlink" Target="https://archive.org/details/arredondo-04-25-24-tao-te-ching-chaps-38-40-not-ingratiating-attaining-unity-mo" TargetMode="External" Id="rId115"/><Relationship Type="http://schemas.openxmlformats.org/officeDocument/2006/relationships/hyperlink" Target="https://archive.org/details/arredondo-04-25-24-tao-te-ching-chaps-38-40-not-ingratiating-attaining-unity-mo" TargetMode="External" Id="rId116"/><Relationship Type="http://schemas.openxmlformats.org/officeDocument/2006/relationships/hyperlink" Target="https://archive.org/details/arredondo-04-25-24-tao-te-ching-chaps-38-40-not-ingratiating-attaining-unity-mo" TargetMode="External" Id="rId117"/><Relationship Type="http://schemas.openxmlformats.org/officeDocument/2006/relationships/hyperlink" Target="https://archive.org/details/arredondo-04-25-24-tao-te-ching-chaps-38-40-not-ingratiating-attaining-unity-mo" TargetMode="External" Id="rId118"/><Relationship Type="http://schemas.openxmlformats.org/officeDocument/2006/relationships/hyperlink" Target="https://archive.org/details/arredondo-04-25-24-tao-te-ching-chaps-38-40-not-ingratiating-attaining-unity-mo" TargetMode="External" Id="rId119"/><Relationship Type="http://schemas.openxmlformats.org/officeDocument/2006/relationships/hyperlink" Target="https://archive.org/details/arredondo-04-25-24-tao-te-ching-chaps-38-40-not-ingratiating-attaining-unity-mo" TargetMode="External" Id="rId120"/><Relationship Type="http://schemas.openxmlformats.org/officeDocument/2006/relationships/hyperlink" Target="https://archive.org/details/arredondo-04-27-24-tao-te-ching-chaps-41-43-when-superior-people-way-produces-o" TargetMode="External" Id="rId121"/><Relationship Type="http://schemas.openxmlformats.org/officeDocument/2006/relationships/hyperlink" Target="https://archive.org/details/arredondo-04-27-24-tao-te-ching-chaps-41-43-when-superior-people-way-produces-o" TargetMode="External" Id="rId122"/><Relationship Type="http://schemas.openxmlformats.org/officeDocument/2006/relationships/hyperlink" Target="https://archive.org/details/arredondo-04-27-24-tao-te-ching-chaps-41-43-when-superior-people-way-produces-o" TargetMode="External" Id="rId123"/><Relationship Type="http://schemas.openxmlformats.org/officeDocument/2006/relationships/hyperlink" Target="https://archive.org/details/arredondo-04-27-24-tao-te-ching-chaps-41-43-when-superior-people-way-produces-o" TargetMode="External" Id="rId124"/><Relationship Type="http://schemas.openxmlformats.org/officeDocument/2006/relationships/hyperlink" Target="https://archive.org/details/arredondo-04-27-24-tao-te-ching-chaps-41-43-when-superior-people-way-produces-o" TargetMode="External" Id="rId125"/><Relationship Type="http://schemas.openxmlformats.org/officeDocument/2006/relationships/hyperlink" Target="https://archive.org/details/arredondo-04-27-24-tao-te-ching-chaps-41-43-when-superior-people-way-produces-o" TargetMode="External" Id="rId126"/><Relationship Type="http://schemas.openxmlformats.org/officeDocument/2006/relationships/hyperlink" Target="https://archive.org/details/arredondo-04-27-24-tao-te-ching-chaps-41-43-when-superior-people-way-produces-o" TargetMode="External" Id="rId127"/><Relationship Type="http://schemas.openxmlformats.org/officeDocument/2006/relationships/hyperlink" Target="https://archive.org/details/arredondo-04-27-24-tao-te-ching-chaps-41-43-when-superior-people-way-produces-o" TargetMode="External" Id="rId128"/><Relationship Type="http://schemas.openxmlformats.org/officeDocument/2006/relationships/hyperlink" Target="https://archive.org/details/arredondo-04-27-24-tao-te-ching-chaps-41-43-when-superior-people-way-produces-o" TargetMode="External" Id="rId129"/><Relationship Type="http://schemas.openxmlformats.org/officeDocument/2006/relationships/hyperlink" Target="https://archive.org/details/arredondo-05-01-24-tao-te-ching-chaps-44-47-name-or-body-great-completeness-wor" TargetMode="External" Id="rId130"/><Relationship Type="http://schemas.openxmlformats.org/officeDocument/2006/relationships/hyperlink" Target="https://archive.org/details/arredondo-05-01-24-tao-te-ching-chaps-44-47-name-or-body-great-completeness-wor" TargetMode="External" Id="rId131"/><Relationship Type="http://schemas.openxmlformats.org/officeDocument/2006/relationships/hyperlink" Target="https://archive.org/details/arredondo-05-01-24-tao-te-ching-chaps-44-47-name-or-body-great-completeness-wor" TargetMode="External" Id="rId132"/><Relationship Type="http://schemas.openxmlformats.org/officeDocument/2006/relationships/hyperlink" Target="https://archive.org/details/arredondo-05-01-24-tao-te-ching-chaps-44-47-name-or-body-great-completeness-wor" TargetMode="External" Id="rId133"/><Relationship Type="http://schemas.openxmlformats.org/officeDocument/2006/relationships/hyperlink" Target="https://archive.org/details/arredondo-05-01-24-tao-te-ching-chaps-44-47-name-or-body-great-completeness-wor" TargetMode="External" Id="rId134"/><Relationship Type="http://schemas.openxmlformats.org/officeDocument/2006/relationships/hyperlink" Target="https://archive.org/details/arredondo-05-01-24-tao-te-ching-chaps-44-47-name-or-body-great-completeness-wor" TargetMode="External" Id="rId135"/><Relationship Type="http://schemas.openxmlformats.org/officeDocument/2006/relationships/hyperlink" Target="https://archive.org/details/arredondo-05-01-24-tao-te-ching-chaps-44-47-name-or-body-great-completeness-wor" TargetMode="External" Id="rId136"/><Relationship Type="http://schemas.openxmlformats.org/officeDocument/2006/relationships/hyperlink" Target="https://archive.org/details/arredondo-05-01-24-tao-te-ching-chaps-44-47-name-or-body-great-completeness-wor" TargetMode="External" Id="rId137"/><Relationship Type="http://schemas.openxmlformats.org/officeDocument/2006/relationships/hyperlink" Target="https://archive.org/details/arredondo-05-01-24-tao-te-ching-chaps-44-47-name-or-body-great-completeness-wor" TargetMode="External" Id="rId138"/><Relationship Type="http://schemas.openxmlformats.org/officeDocument/2006/relationships/hyperlink" Target="https://archive.org/details/arredondo-05-01-24-tao-te-ching-chaps-44-47-name-or-body-great-completeness-wor" TargetMode="External" Id="rId139"/><Relationship Type="http://schemas.openxmlformats.org/officeDocument/2006/relationships/hyperlink" Target="https://archive.org/details/arredondo-05-01-24-tao-te-ching-chaps-44-47-name-or-body-great-completeness-wor" TargetMode="External" Id="rId140"/><Relationship Type="http://schemas.openxmlformats.org/officeDocument/2006/relationships/hyperlink" Target="https://archive.org/details/arredondo-05-01-24-tao-te-ching-chaps-44-47-name-or-body-great-completeness-wor" TargetMode="External" Id="rId141"/><Relationship Type="http://schemas.openxmlformats.org/officeDocument/2006/relationships/hyperlink" Target="https://archive.org/details/arredondo-05-01-24-tao-te-ching-chaps-44-47-name-or-body-great-completeness-wor" TargetMode="External" Id="rId142"/><Relationship Type="http://schemas.openxmlformats.org/officeDocument/2006/relationships/hyperlink" Target="https://archive.org/details/arredondo-05-01-24-tao-te-ching-chaps-44-47-name-or-body-great-completeness-wor" TargetMode="External" Id="rId143"/><Relationship Type="http://schemas.openxmlformats.org/officeDocument/2006/relationships/hyperlink" Target="https://archive.org/details/arredondo-05-01-24-tao-te-ching-chaps-44-47-name-or-body-great-completeness-wor" TargetMode="External" Id="rId144"/><Relationship Type="http://schemas.openxmlformats.org/officeDocument/2006/relationships/hyperlink" Target="https://archive.org/details/arredondo-05-03-24-tao-te-ching-chaps-48-50-gain-daily-sages-no-fixed-mind-from" TargetMode="External" Id="rId145"/><Relationship Type="http://schemas.openxmlformats.org/officeDocument/2006/relationships/hyperlink" Target="https://archive.org/details/arredondo-05-03-24-tao-te-ching-chaps-48-50-gain-daily-sages-no-fixed-mind-from" TargetMode="External" Id="rId146"/><Relationship Type="http://schemas.openxmlformats.org/officeDocument/2006/relationships/hyperlink" Target="https://archive.org/details/arredondo-05-03-24-tao-te-ching-chaps-48-50-gain-daily-sages-no-fixed-mind-from" TargetMode="External" Id="rId147"/><Relationship Type="http://schemas.openxmlformats.org/officeDocument/2006/relationships/hyperlink" Target="https://archive.org/details/arredondo-05-03-24-tao-te-ching-chaps-48-50-gain-daily-sages-no-fixed-mind-from" TargetMode="External" Id="rId148"/><Relationship Type="http://schemas.openxmlformats.org/officeDocument/2006/relationships/hyperlink" Target="https://archive.org/details/arredondo-05-03-24-tao-te-ching-chaps-48-50-gain-daily-sages-no-fixed-mind-from" TargetMode="External" Id="rId149"/><Relationship Type="http://schemas.openxmlformats.org/officeDocument/2006/relationships/hyperlink" Target="https://archive.org/details/arredondo-05-03-24-tao-te-ching-chaps-48-50-gain-daily-sages-no-fixed-mind-from" TargetMode="External" Id="rId150"/><Relationship Type="http://schemas.openxmlformats.org/officeDocument/2006/relationships/hyperlink" Target="https://archive.org/details/arredondo-05-03-24-tao-te-ching-chaps-48-50-gain-daily-sages-no-fixed-mind-from" TargetMode="External" Id="rId151"/><Relationship Type="http://schemas.openxmlformats.org/officeDocument/2006/relationships/hyperlink" Target="https://archive.org/details/arredondo-05-03-24-tao-te-ching-chaps-48-50-gain-daily-sages-no-fixed-mind-from" TargetMode="External" Id="rId152"/><Relationship Type="http://schemas.openxmlformats.org/officeDocument/2006/relationships/hyperlink" Target="https://archive.org/details/arredondo-05-03-24-tao-te-ching-chaps-48-50-gain-daily-sages-no-fixed-mind-from" TargetMode="External" Id="rId153"/><Relationship Type="http://schemas.openxmlformats.org/officeDocument/2006/relationships/hyperlink" Target="https://archive.org/details/arredondo-05-06-24-tao-te-ching-chaps-51-54-gives-birth-world-beginning-flashes" TargetMode="External" Id="rId154"/><Relationship Type="http://schemas.openxmlformats.org/officeDocument/2006/relationships/hyperlink" Target="https://archive.org/details/arredondo-05-06-24-tao-te-ching-chaps-51-54-gives-birth-world-beginning-flashes" TargetMode="External" Id="rId155"/><Relationship Type="http://schemas.openxmlformats.org/officeDocument/2006/relationships/hyperlink" Target="https://archive.org/details/arredondo-05-06-24-tao-te-ching-chaps-51-54-gives-birth-world-beginning-flashes" TargetMode="External" Id="rId156"/><Relationship Type="http://schemas.openxmlformats.org/officeDocument/2006/relationships/hyperlink" Target="https://archive.org/details/arredondo-05-06-24-tao-te-ching-chaps-51-54-gives-birth-world-beginning-flashes" TargetMode="External" Id="rId157"/><Relationship Type="http://schemas.openxmlformats.org/officeDocument/2006/relationships/hyperlink" Target="https://archive.org/details/arredondo-05-06-24-tao-te-ching-chaps-51-54-gives-birth-world-beginning-flashes" TargetMode="External" Id="rId158"/><Relationship Type="http://schemas.openxmlformats.org/officeDocument/2006/relationships/hyperlink" Target="https://archive.org/details/arredondo-05-06-24-tao-te-ching-chaps-51-54-gives-birth-world-beginning-flashes" TargetMode="External" Id="rId159"/><Relationship Type="http://schemas.openxmlformats.org/officeDocument/2006/relationships/hyperlink" Target="https://archive.org/details/arredondo-05-06-24-tao-te-ching-chaps-51-54-gives-birth-world-beginning-flashes" TargetMode="External" Id="rId160"/><Relationship Type="http://schemas.openxmlformats.org/officeDocument/2006/relationships/hyperlink" Target="https://archive.org/details/arredondo-05-06-24-tao-te-ching-chaps-51-54-gives-birth-world-beginning-flashes" TargetMode="External" Id="rId161"/><Relationship Type="http://schemas.openxmlformats.org/officeDocument/2006/relationships/hyperlink" Target="https://archive.org/details/arredondo-05-06-24-tao-te-ching-chaps-51-54-gives-birth-world-beginning-flashes" TargetMode="External" Id="rId162"/><Relationship Type="http://schemas.openxmlformats.org/officeDocument/2006/relationships/hyperlink" Target="https://archive.org/details/arredondo-05-07-24-tao-te-ching-chaps-55-58-subliminal-those-who-know-govern-un" TargetMode="External" Id="rId163"/><Relationship Type="http://schemas.openxmlformats.org/officeDocument/2006/relationships/hyperlink" Target="https://archive.org/details/arredondo-05-07-24-tao-te-ching-chaps-55-58-subliminal-those-who-know-govern-un" TargetMode="External" Id="rId164"/><Relationship Type="http://schemas.openxmlformats.org/officeDocument/2006/relationships/hyperlink" Target="https://archive.org/details/arredondo-05-07-24-tao-te-ching-chaps-55-58-subliminal-those-who-know-govern-un" TargetMode="External" Id="rId165"/><Relationship Type="http://schemas.openxmlformats.org/officeDocument/2006/relationships/hyperlink" Target="https://archive.org/details/arredondo-05-07-24-tao-te-ching-chaps-55-58-subliminal-those-who-know-govern-un" TargetMode="External" Id="rId166"/><Relationship Type="http://schemas.openxmlformats.org/officeDocument/2006/relationships/hyperlink" Target="https://archive.org/details/arredondo-05-07-24-tao-te-ching-chaps-55-58-subliminal-those-who-know-govern-un" TargetMode="External" Id="rId167"/><Relationship Type="http://schemas.openxmlformats.org/officeDocument/2006/relationships/hyperlink" Target="https://archive.org/details/arredondo-05-07-24-tao-te-ching-chaps-55-58-subliminal-those-who-know-govern-un" TargetMode="External" Id="rId168"/><Relationship Type="http://schemas.openxmlformats.org/officeDocument/2006/relationships/hyperlink" Target="https://archive.org/details/arredondo-05-07-24-tao-te-ching-chaps-55-58-subliminal-those-who-know-govern-un" TargetMode="External" Id="rId169"/><Relationship Type="http://schemas.openxmlformats.org/officeDocument/2006/relationships/hyperlink" Target="https://archive.org/details/arredondo-05-07-24-tao-te-ching-chaps-55-58-subliminal-those-who-know-govern-un" TargetMode="External" Id="rId170"/><Relationship Type="http://schemas.openxmlformats.org/officeDocument/2006/relationships/hyperlink" Target="https://archive.org/details/arredondo-05-07-24-tao-te-ching-chaps-55-58-subliminal-those-who-know-govern-un" TargetMode="External" Id="rId171"/><Relationship Type="http://schemas.openxmlformats.org/officeDocument/2006/relationships/hyperlink" Target="https://archive.org/details/arredondo-05-07-24-tao-te-ching-chaps-55-58-subliminal-those-who-know-govern-un" TargetMode="External" Id="rId172"/><Relationship Type="http://schemas.openxmlformats.org/officeDocument/2006/relationships/hyperlink" Target="https://archive.org/details/arredondo-05-07-24-tao-te-ching-chaps-55-58-subliminal-those-who-know-govern-un" TargetMode="External" Id="rId173"/><Relationship Type="http://schemas.openxmlformats.org/officeDocument/2006/relationships/hyperlink" Target="https://archive.org/details/arredondo-05-07-24-tao-te-ching-chaps-55-58-subliminal-those-who-know-govern-un" TargetMode="External" Id="rId174"/><Relationship Type="http://schemas.openxmlformats.org/officeDocument/2006/relationships/hyperlink" Target="https://archive.org/details/arredondo-05-08-24-tao-te-ching-chaps-59-62-govern-the-human-small-fry-great-na" TargetMode="External" Id="rId175"/><Relationship Type="http://schemas.openxmlformats.org/officeDocument/2006/relationships/hyperlink" Target="https://archive.org/details/arredondo-05-08-24-tao-te-ching-chaps-59-62-govern-the-human-small-fry-great-na" TargetMode="External" Id="rId176"/><Relationship Type="http://schemas.openxmlformats.org/officeDocument/2006/relationships/hyperlink" Target="https://archive.org/details/arredondo-05-08-24-tao-te-ching-chaps-59-62-govern-the-human-small-fry-great-na" TargetMode="External" Id="rId177"/><Relationship Type="http://schemas.openxmlformats.org/officeDocument/2006/relationships/hyperlink" Target="https://archive.org/details/arredondo-05-08-24-tao-te-ching-chaps-59-62-govern-the-human-small-fry-great-na" TargetMode="External" Id="rId178"/><Relationship Type="http://schemas.openxmlformats.org/officeDocument/2006/relationships/hyperlink" Target="https://archive.org/details/arredondo-05-08-24-tao-te-ching-chaps-59-62-govern-the-human-small-fry-great-na" TargetMode="External" Id="rId179"/><Relationship Type="http://schemas.openxmlformats.org/officeDocument/2006/relationships/hyperlink" Target="https://archive.org/details/arredondo-05-08-24-tao-te-ching-chaps-59-62-govern-the-human-small-fry-great-na" TargetMode="External" Id="rId180"/><Relationship Type="http://schemas.openxmlformats.org/officeDocument/2006/relationships/hyperlink" Target="https://archive.org/details/arredondo-05-08-24-tao-te-ching-chaps-59-62-govern-the-human-small-fry-great-na" TargetMode="External" Id="rId181"/><Relationship Type="http://schemas.openxmlformats.org/officeDocument/2006/relationships/hyperlink" Target="https://archive.org/details/arredondo-05-08-24-tao-te-ching-chaps-59-62-govern-the-human-small-fry-great-na" TargetMode="External" Id="rId182"/><Relationship Type="http://schemas.openxmlformats.org/officeDocument/2006/relationships/hyperlink" Target="https://archive.org/details/arredondo-05-08-24-tao-te-ching-chaps-59-62-govern-the-human-small-fry-great-na" TargetMode="External" Id="rId183"/><Relationship Type="http://schemas.openxmlformats.org/officeDocument/2006/relationships/hyperlink" Target="https://archive.org/details/arredondo-05-08-24-tao-te-ching-chaps-59-62-govern-the-human-small-fry-great-na" TargetMode="External" Id="rId184"/><Relationship Type="http://schemas.openxmlformats.org/officeDocument/2006/relationships/hyperlink" Target="https://archive.org/details/arredondo-05-08-24-tao-te-ching-chaps-59-62-govern-the-human-small-fry-great-na" TargetMode="External" Id="rId185"/><Relationship Type="http://schemas.openxmlformats.org/officeDocument/2006/relationships/hyperlink" Target="https://archive.org/details/arredondo-05-08-24-tao-te-ching-chaps-59-62-govern-the-human-small-fry-great-na" TargetMode="External" Id="rId186"/><Relationship Type="http://schemas.openxmlformats.org/officeDocument/2006/relationships/hyperlink" Target="https://archive.org/details/arredondo-05-09-24-tao-te-ching-chaps-63-65-do-non-doing-what-is-at-rest-good-p" TargetMode="External" Id="rId187"/><Relationship Type="http://schemas.openxmlformats.org/officeDocument/2006/relationships/hyperlink" Target="https://archive.org/details/arredondo-05-09-24-tao-te-ching-chaps-63-65-do-non-doing-what-is-at-rest-good-p" TargetMode="External" Id="rId188"/><Relationship Type="http://schemas.openxmlformats.org/officeDocument/2006/relationships/hyperlink" Target="https://archive.org/details/arredondo-05-09-24-tao-te-ching-chaps-63-65-do-non-doing-what-is-at-rest-good-p" TargetMode="External" Id="rId189"/><Relationship Type="http://schemas.openxmlformats.org/officeDocument/2006/relationships/hyperlink" Target="https://archive.org/details/arredondo-05-09-24-tao-te-ching-chaps-63-65-do-non-doing-what-is-at-rest-good-p" TargetMode="External" Id="rId190"/><Relationship Type="http://schemas.openxmlformats.org/officeDocument/2006/relationships/hyperlink" Target="https://archive.org/details/arredondo-05-09-24-tao-te-ching-chaps-63-65-do-non-doing-what-is-at-rest-good-p" TargetMode="External" Id="rId191"/><Relationship Type="http://schemas.openxmlformats.org/officeDocument/2006/relationships/hyperlink" Target="https://archive.org/details/arredondo-05-09-24-tao-te-ching-chaps-63-65-do-non-doing-what-is-at-rest-good-p" TargetMode="External" Id="rId192"/><Relationship Type="http://schemas.openxmlformats.org/officeDocument/2006/relationships/hyperlink" Target="https://archive.org/details/arredondo-05-09-24-tao-te-ching-chaps-63-65-do-non-doing-what-is-at-rest-good-p" TargetMode="External" Id="rId193"/><Relationship Type="http://schemas.openxmlformats.org/officeDocument/2006/relationships/hyperlink" Target="https://archive.org/details/arredondo-05-09-24-tao-te-ching-chaps-63-65-do-non-doing-what-is-at-rest-good-p" TargetMode="External" Id="rId194"/><Relationship Type="http://schemas.openxmlformats.org/officeDocument/2006/relationships/hyperlink" Target="https://archive.org/details/arredondo-05-09-24-tao-te-ching-chaps-63-65-do-non-doing-what-is-at-rest-good-p" TargetMode="External" Id="rId195"/><Relationship Type="http://schemas.openxmlformats.org/officeDocument/2006/relationships/hyperlink" Target="https://archive.org/details/arredondo-05-09-24-tao-te-ching-chaps-63-65-do-non-doing-what-is-at-rest-good-p" TargetMode="External" Id="rId196"/><Relationship Type="http://schemas.openxmlformats.org/officeDocument/2006/relationships/hyperlink" Target="https://archive.org/details/arredondo-05-09-24-tao-te-ching-chaps-63-65-do-non-doing-what-is-at-rest-good-p" TargetMode="External" Id="rId197"/><Relationship Type="http://schemas.openxmlformats.org/officeDocument/2006/relationships/hyperlink" Target="https://archive.org/details/arredondo-05-09-24-tao-te-ching-chaps-63-65-do-non-doing-what-is-at-rest-good-p" TargetMode="External" Id="rId198"/><Relationship Type="http://schemas.openxmlformats.org/officeDocument/2006/relationships/hyperlink" Target="https://archive.org/details/arredondo-05-10-24-tao-te-ching-chaps-66-69-rivers-seas-everyone-says-warriors" TargetMode="External" Id="rId199"/><Relationship Type="http://schemas.openxmlformats.org/officeDocument/2006/relationships/hyperlink" Target="https://archive.org/details/arredondo-05-10-24-tao-te-ching-chaps-66-69-rivers-seas-everyone-says-warriors" TargetMode="External" Id="rId200"/><Relationship Type="http://schemas.openxmlformats.org/officeDocument/2006/relationships/hyperlink" Target="https://archive.org/details/arredondo-05-10-24-tao-te-ching-chaps-66-69-rivers-seas-everyone-says-warriors" TargetMode="External" Id="rId201"/><Relationship Type="http://schemas.openxmlformats.org/officeDocument/2006/relationships/hyperlink" Target="https://archive.org/details/arredondo-05-10-24-tao-te-ching-chaps-66-69-rivers-seas-everyone-says-warriors" TargetMode="External" Id="rId202"/><Relationship Type="http://schemas.openxmlformats.org/officeDocument/2006/relationships/hyperlink" Target="https://archive.org/details/arredondo-05-10-24-tao-te-ching-chaps-66-69-rivers-seas-everyone-says-warriors" TargetMode="External" Id="rId203"/><Relationship Type="http://schemas.openxmlformats.org/officeDocument/2006/relationships/hyperlink" Target="https://archive.org/details/arredondo-05-10-24-tao-te-ching-chaps-66-69-rivers-seas-everyone-says-warriors" TargetMode="External" Id="rId204"/><Relationship Type="http://schemas.openxmlformats.org/officeDocument/2006/relationships/hyperlink" Target="https://archive.org/details/arredondo-05-10-24-tao-te-ching-chaps-66-69-rivers-seas-everyone-says-warriors" TargetMode="External" Id="rId205"/><Relationship Type="http://schemas.openxmlformats.org/officeDocument/2006/relationships/hyperlink" Target="https://archive.org/details/arredondo-05-10-24-tao-te-ching-chaps-66-69-rivers-seas-everyone-says-warriors" TargetMode="External" Id="rId206"/><Relationship Type="http://schemas.openxmlformats.org/officeDocument/2006/relationships/hyperlink" Target="https://archive.org/details/arredondo-05-10-24-tao-te-ching-chaps-66-69-rivers-seas-everyone-says-warriors" TargetMode="External" Id="rId207"/><Relationship Type="http://schemas.openxmlformats.org/officeDocument/2006/relationships/hyperlink" Target="https://archive.org/details/arredondo-05-16-24-tao-te-ching-chaps-70-73-my-sayings-knowing-unconsciously-no" TargetMode="External" Id="rId208"/><Relationship Type="http://schemas.openxmlformats.org/officeDocument/2006/relationships/hyperlink" Target="https://archive.org/details/arredondo-05-16-24-tao-te-ching-chaps-70-73-my-sayings-knowing-unconsciously-no" TargetMode="External" Id="rId209"/><Relationship Type="http://schemas.openxmlformats.org/officeDocument/2006/relationships/hyperlink" Target="https://archive.org/details/arredondo-05-16-24-tao-te-ching-chaps-70-73-my-sayings-knowing-unconsciously-no" TargetMode="External" Id="rId210"/><Relationship Type="http://schemas.openxmlformats.org/officeDocument/2006/relationships/hyperlink" Target="https://archive.org/details/arredondo-05-16-24-tao-te-ching-chaps-70-73-my-sayings-knowing-unconsciously-no" TargetMode="External" Id="rId211"/><Relationship Type="http://schemas.openxmlformats.org/officeDocument/2006/relationships/hyperlink" Target="https://archive.org/details/arredondo-05-16-24-tao-te-ching-chaps-70-73-my-sayings-knowing-unconsciously-no" TargetMode="External" Id="rId212"/><Relationship Type="http://schemas.openxmlformats.org/officeDocument/2006/relationships/hyperlink" Target="https://archive.org/details/arredondo-05-16-24-tao-te-ching-chaps-70-73-my-sayings-knowing-unconsciously-no" TargetMode="External" Id="rId213"/><Relationship Type="http://schemas.openxmlformats.org/officeDocument/2006/relationships/hyperlink" Target="https://archive.org/details/arredondo-05-16-24-tao-te-ching-chaps-70-73-my-sayings-knowing-unconsciously-no" TargetMode="External" Id="rId214"/><Relationship Type="http://schemas.openxmlformats.org/officeDocument/2006/relationships/hyperlink" Target="https://archive.org/details/arredondo-05-16-24-tao-te-ching-chaps-70-73-my-sayings-knowing-unconsciously-no" TargetMode="External" Id="rId215"/><Relationship Type="http://schemas.openxmlformats.org/officeDocument/2006/relationships/hyperlink" Target="https://archive.org/details/arredondo-05-16-24-tao-te-ching-chaps-70-73-my-sayings-knowing-unconsciously-no" TargetMode="External" Id="rId216"/><Relationship Type="http://schemas.openxmlformats.org/officeDocument/2006/relationships/hyperlink" Target="https://archive.org/details/arredondo-05-16-24-tao-te-ching-chaps-70-73-my-sayings-knowing-unconsciously-no" TargetMode="External" Id="rId217"/><Relationship Type="http://schemas.openxmlformats.org/officeDocument/2006/relationships/hyperlink" Target="https://archive.org/details/arredondo-05-16-24-tao-te-ching-chaps-70-73-my-sayings-knowing-unconsciously-no" TargetMode="External" Id="rId218"/><Relationship Type="http://schemas.openxmlformats.org/officeDocument/2006/relationships/hyperlink" Target="https://archive.org/details/arredondo-05-16-24-tao-te-ching-chaps-70-73-my-sayings-knowing-unconsciously-no" TargetMode="External" Id="rId219"/><Relationship Type="http://schemas.openxmlformats.org/officeDocument/2006/relationships/hyperlink" Target="https://archive.org/details/arredondo-05-16-24-tao-te-ching-chaps-70-73-my-sayings-knowing-unconsciously-no" TargetMode="External" Id="rId220"/><Relationship Type="http://schemas.openxmlformats.org/officeDocument/2006/relationships/hyperlink" Target="https://archive.org/details/arredondo-05-16-24-tao-te-ching-chaps-70-73-my-sayings-knowing-unconsciously-no" TargetMode="External" Id="rId221"/><Relationship Type="http://schemas.openxmlformats.org/officeDocument/2006/relationships/hyperlink" Target="https://archive.org/details/arredondo-05-16-24-tao-te-ching-chaps-70-73-my-sayings-knowing-unconsciously-no" TargetMode="External" Id="rId222"/><Relationship Type="http://schemas.openxmlformats.org/officeDocument/2006/relationships/hyperlink" Target="https://archive.org/details/arredondo-05-16-24-tao-te-ching-chaps-75-78-starvation-people-are-born-way-of-h" TargetMode="External" Id="rId223"/><Relationship Type="http://schemas.openxmlformats.org/officeDocument/2006/relationships/hyperlink" Target="https://archive.org/details/arredondo-05-16-24-tao-te-ching-chaps-75-78-starvation-people-are-born-way-of-h" TargetMode="External" Id="rId224"/><Relationship Type="http://schemas.openxmlformats.org/officeDocument/2006/relationships/hyperlink" Target="https://archive.org/details/arredondo-05-16-24-tao-te-ching-chaps-75-78-starvation-people-are-born-way-of-h" TargetMode="External" Id="rId225"/><Relationship Type="http://schemas.openxmlformats.org/officeDocument/2006/relationships/hyperlink" Target="https://archive.org/details/arredondo-05-16-24-tao-te-ching-chaps-75-78-starvation-people-are-born-way-of-h" TargetMode="External" Id="rId226"/><Relationship Type="http://schemas.openxmlformats.org/officeDocument/2006/relationships/hyperlink" Target="https://archive.org/details/arredondo-05-16-24-tao-te-ching-chaps-75-78-starvation-people-are-born-way-of-h" TargetMode="External" Id="rId227"/><Relationship Type="http://schemas.openxmlformats.org/officeDocument/2006/relationships/hyperlink" Target="https://archive.org/details/arredondo-05-16-24-tao-te-ching-chaps-75-78-starvation-people-are-born-way-of-h" TargetMode="External" Id="rId228"/><Relationship Type="http://schemas.openxmlformats.org/officeDocument/2006/relationships/hyperlink" Target="https://archive.org/details/arredondo-05-16-24-tao-te-ching-chaps-75-78-starvation-people-are-born-way-of-h" TargetMode="External" Id="rId229"/><Relationship Type="http://schemas.openxmlformats.org/officeDocument/2006/relationships/hyperlink" Target="https://archive.org/details/arredondo-05-16-24-tao-te-ching-chaps-75-78-starvation-people-are-born-way-of-h" TargetMode="External" Id="rId230"/><Relationship Type="http://schemas.openxmlformats.org/officeDocument/2006/relationships/hyperlink" Target="https://archive.org/details/arredondo-05-16-24-tao-te-ching-chaps-75-78-starvation-people-are-born-way-of-h" TargetMode="External" Id="rId231"/><Relationship Type="http://schemas.openxmlformats.org/officeDocument/2006/relationships/hyperlink" Target="https://archive.org/details/arredondo-05-16-24-tao-te-ching-chaps-75-78-starvation-people-are-born-way-of-h" TargetMode="External" Id="rId232"/><Relationship Type="http://schemas.openxmlformats.org/officeDocument/2006/relationships/hyperlink" Target="https://archive.org/details/arredondo-05-16-24-tao-te-ching-chaps-75-78-starvation-people-are-born-way-of-h" TargetMode="External" Id="rId233"/><Relationship Type="http://schemas.openxmlformats.org/officeDocument/2006/relationships/hyperlink" Target="https://archive.org/details/arredondo-05-16-24-tao-te-ching-chaps-75-78-starvation-people-are-born-way-of-h" TargetMode="External" Id="rId234"/><Relationship Type="http://schemas.openxmlformats.org/officeDocument/2006/relationships/hyperlink" Target="https://archive.org/details/arredondo-05-29-24-tao-te-ching-chaps-79-81-bitter-enemies-a-small-state-true-w" TargetMode="External" Id="rId235"/><Relationship Type="http://schemas.openxmlformats.org/officeDocument/2006/relationships/hyperlink" Target="https://archive.org/details/arredondo-05-29-24-tao-te-ching-chaps-79-81-bitter-enemies-a-small-state-true-w" TargetMode="External" Id="rId236"/><Relationship Type="http://schemas.openxmlformats.org/officeDocument/2006/relationships/hyperlink" Target="https://archive.org/details/arredondo-05-29-24-tao-te-ching-chaps-79-81-bitter-enemies-a-small-state-true-w" TargetMode="External" Id="rId237"/><Relationship Type="http://schemas.openxmlformats.org/officeDocument/2006/relationships/hyperlink" Target="https://archive.org/details/arredondo-05-29-24-tao-te-ching-chaps-79-81-bitter-enemies-a-small-state-true-w" TargetMode="External" Id="rId238"/><Relationship Type="http://schemas.openxmlformats.org/officeDocument/2006/relationships/hyperlink" Target="https://archive.org/details/arredondo-05-29-24-tao-te-ching-chaps-79-81-bitter-enemies-a-small-state-true-w" TargetMode="External" Id="rId239"/><Relationship Type="http://schemas.openxmlformats.org/officeDocument/2006/relationships/hyperlink" Target="https://archive.org/details/arredondo-05-29-24-tao-te-ching-chaps-79-81-bitter-enemies-a-small-state-true-w" TargetMode="External" Id="rId240"/><Relationship Type="http://schemas.openxmlformats.org/officeDocument/2006/relationships/hyperlink" Target="https://archive.org/details/arredondo-05-29-24-tao-te-ching-chaps-79-81-bitter-enemies-a-small-state-true-w" TargetMode="External" Id="rId241"/><Relationship Type="http://schemas.openxmlformats.org/officeDocument/2006/relationships/hyperlink" Target="https://archive.org/details/arredondo-05-29-24-tao-te-ching-chaps-79-81-bitter-enemies-a-small-state-true-w" TargetMode="External" Id="rId242"/><Relationship Type="http://schemas.openxmlformats.org/officeDocument/2006/relationships/hyperlink" Target="https://archive.org/details/arredondo-05-29-24-tao-te-ching-chaps-79-81-bitter-enemies-a-small-state-true-w" TargetMode="External" Id="rId24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" min="1" max="1"/>
    <col width="7" customWidth="1" style="15" min="2" max="2"/>
    <col width="9" customWidth="1" style="15" min="3" max="3"/>
    <col width="40" customWidth="1" style="15" min="4" max="4"/>
    <col width="14" customWidth="1" style="15" min="5" max="5"/>
    <col width="7" customWidth="1" style="15" min="6" max="6"/>
    <col width="14" customWidth="1" style="15" min="7" max="7"/>
    <col width="10" customWidth="1" style="15" min="8" max="8"/>
    <col width="52" customWidth="1" style="15" min="9" max="9"/>
    <col width="13" customWidth="1" style="15" min="10" max="10"/>
    <col width="44" customWidth="1" style="15" min="11" max="11"/>
    <col width="48" customWidth="1" style="15" min="12" max="12"/>
    <col width="13" customWidth="1" style="15" min="13" max="13"/>
  </cols>
  <sheetData>
    <row r="1" ht="30" customHeight="1" s="16">
      <c r="A1" s="17" t="inlineStr">
        <is>
          <t>Release #</t>
        </is>
      </c>
      <c r="B1" s="17" t="inlineStr">
        <is>
          <t>Week</t>
        </is>
      </c>
      <c r="C1" s="17" t="inlineStr">
        <is>
          <t>Chapter</t>
        </is>
      </c>
      <c r="D1" s="17" t="inlineStr">
        <is>
          <t>Chapter title</t>
        </is>
      </c>
      <c r="E1" s="17" t="inlineStr">
        <is>
          <t>Short type</t>
        </is>
      </c>
      <c r="F1" s="17" t="inlineStr">
        <is>
          <t>Day</t>
        </is>
      </c>
      <c r="G1" s="17" t="inlineStr">
        <is>
          <t>Release date</t>
        </is>
      </c>
      <c r="H1" s="17" t="inlineStr">
        <is>
          <t>Days since previous</t>
        </is>
      </c>
      <c r="I1" s="17" t="inlineStr">
        <is>
          <t>Source video</t>
        </is>
      </c>
      <c r="J1" s="17" t="inlineStr">
        <is>
          <t>Status</t>
        </is>
      </c>
      <c r="K1" s="17" t="inlineStr">
        <is>
          <t>Short title</t>
        </is>
      </c>
      <c r="L1" s="17" t="inlineStr">
        <is>
          <t>Notes</t>
        </is>
      </c>
      <c r="M1" s="17" t="inlineStr">
        <is>
          <t>Created on</t>
        </is>
      </c>
    </row>
    <row r="2" ht="15" customHeight="1" s="16">
      <c r="A2" s="18" t="n">
        <v>1</v>
      </c>
      <c r="B2" s="18">
        <f>INT((A2-1)/3)+1</f>
        <v/>
      </c>
      <c r="C2" s="19" t="n">
        <v>1</v>
      </c>
      <c r="D2" s="18" t="inlineStr">
        <is>
          <t>A Way Can Be a Guide</t>
        </is>
      </c>
      <c r="E2" s="18" t="inlineStr">
        <is>
          <t>Reading</t>
        </is>
      </c>
      <c r="F2" s="18">
        <f>TEXT(G2,"ddd")</f>
        <v/>
      </c>
      <c r="G2" s="20">
        <f>Settings!$B$4+(B2-1)*Settings!$B$11+INDEX(Settings!$B$7:$B$9,MATCH(E2,Settings!$A$7:$A$9,0))</f>
        <v/>
      </c>
      <c r="H2" s="21" t="n"/>
      <c r="I2" s="22" t="inlineStr">
        <is>
          <t>arredondo-03-27-24-tao-te-ching-chap-1-the-gateway-of-marvels-3-27-2024</t>
        </is>
      </c>
      <c r="J2" s="18" t="inlineStr">
        <is>
          <t>Released</t>
        </is>
      </c>
      <c r="K2" s="18" t="inlineStr">
        <is>
          <t>The Gateway of Marvels · Tao Te Ching, Ch. 1</t>
        </is>
      </c>
      <c r="L2" s="18" t="inlineStr">
        <is>
          <t>Reading Short; shorts/tao-ch1-gateway-of-marvels</t>
        </is>
      </c>
      <c r="M2" s="20" t="n">
        <v>46314</v>
      </c>
    </row>
    <row r="3" ht="15" customHeight="1" s="16">
      <c r="A3" s="18" t="n">
        <v>2</v>
      </c>
      <c r="B3" s="18">
        <f>INT((A3-1)/3)+1</f>
        <v/>
      </c>
      <c r="C3" s="19" t="n">
        <v>1</v>
      </c>
      <c r="D3" s="18" t="inlineStr">
        <is>
          <t>A Way Can Be a Guide</t>
        </is>
      </c>
      <c r="E3" s="18" t="inlineStr">
        <is>
          <t>Discussion 1</t>
        </is>
      </c>
      <c r="F3" s="18">
        <f>TEXT(G3,"ddd")</f>
        <v/>
      </c>
      <c r="G3" s="20">
        <f>Settings!$B$4+(B3-1)*Settings!$B$11+INDEX(Settings!$B$7:$B$9,MATCH(E3,Settings!$A$7:$A$9,0))</f>
        <v/>
      </c>
      <c r="H3" s="21">
        <f>G3-G2</f>
        <v/>
      </c>
      <c r="I3" s="22" t="inlineStr">
        <is>
          <t>arredondo-03-27-24-tao-te-ching-chap-1-the-gateway-of-marvels-3-27-2024</t>
        </is>
      </c>
      <c r="J3" s="18" t="inlineStr">
        <is>
          <t>Ready</t>
        </is>
      </c>
      <c r="K3" s="18" t="inlineStr">
        <is>
          <t>Why Trying Harder Makes You Miss What Matters</t>
        </is>
      </c>
      <c r="L3" s="18" t="inlineStr">
        <is>
          <t>Main teaching: always passionless, observe the subtle; ever intent, observe the apparent; you need both (shorts/tao-ch1-passionless-subtle). Made, awaiting review.; main teaching: always passionless, observe the subtle; ever intent, observe the apparent</t>
        </is>
      </c>
      <c r="M3" s="23" t="n">
        <v>46319</v>
      </c>
    </row>
    <row r="4" ht="15" customHeight="1" s="16">
      <c r="A4" s="18" t="n">
        <v>3</v>
      </c>
      <c r="B4" s="18">
        <f>INT((A4-1)/3)+1</f>
        <v/>
      </c>
      <c r="C4" s="19" t="n">
        <v>1</v>
      </c>
      <c r="D4" s="18" t="inlineStr">
        <is>
          <t>A Way Can Be a Guide</t>
        </is>
      </c>
      <c r="E4" s="18" t="inlineStr">
        <is>
          <t>Discussion 2</t>
        </is>
      </c>
      <c r="F4" s="18">
        <f>TEXT(G4,"ddd")</f>
        <v/>
      </c>
      <c r="G4" s="20">
        <f>Settings!$B$4+(B4-1)*Settings!$B$11+INDEX(Settings!$B$7:$B$9,MATCH(E4,Settings!$A$7:$A$9,0))</f>
        <v/>
      </c>
      <c r="H4" s="21">
        <f>G4-G3</f>
        <v/>
      </c>
      <c r="I4" s="22" t="inlineStr">
        <is>
          <t>arredondo-03-27-24-tao-te-ching-chap-1-the-gateway-of-marvels-3-27-2024</t>
        </is>
      </c>
      <c r="J4" s="18" t="inlineStr">
        <is>
          <t>Planned</t>
        </is>
      </c>
      <c r="K4" s="18" t="n"/>
      <c r="L4" s="18" t="n"/>
      <c r="M4" s="20" t="n"/>
    </row>
    <row r="5" ht="15" customHeight="1" s="16">
      <c r="A5" s="18" t="n">
        <v>4</v>
      </c>
      <c r="B5" s="18">
        <f>INT((A5-1)/3)+1</f>
        <v/>
      </c>
      <c r="C5" s="19" t="n">
        <v>2</v>
      </c>
      <c r="D5" s="18" t="inlineStr">
        <is>
          <t>Everyone Knows</t>
        </is>
      </c>
      <c r="E5" s="18" t="inlineStr">
        <is>
          <t>Reading</t>
        </is>
      </c>
      <c r="F5" s="18">
        <f>TEXT(G5,"ddd")</f>
        <v/>
      </c>
      <c r="G5" s="20">
        <f>Settings!$B$4+(B5-1)*Settings!$B$11+INDEX(Settings!$B$7:$B$9,MATCH(E5,Settings!$A$7:$A$9,0))</f>
        <v/>
      </c>
      <c r="H5" s="21">
        <f>G5-G4</f>
        <v/>
      </c>
      <c r="I5" s="22" t="inlineStr">
        <is>
          <t>arredondo-03-28-24-tao-te-ching-chaps-2-3-when-everyone-knows-beauty-is-beauty</t>
        </is>
      </c>
      <c r="J5" s="18" t="inlineStr">
        <is>
          <t>Ready</t>
        </is>
      </c>
      <c r="K5" s="18" t="n"/>
      <c r="L5" s="18" t="inlineStr">
        <is>
          <t>Reading Short made and approved (shorts/tao-ch2-everyone-knows)</t>
        </is>
      </c>
      <c r="M5" s="20" t="n">
        <v>46319</v>
      </c>
    </row>
    <row r="6" ht="15" customHeight="1" s="16">
      <c r="A6" s="18" t="n">
        <v>5</v>
      </c>
      <c r="B6" s="18">
        <f>INT((A6-1)/3)+1</f>
        <v/>
      </c>
      <c r="C6" s="19" t="n">
        <v>2</v>
      </c>
      <c r="D6" s="18" t="inlineStr">
        <is>
          <t>Everyone Knows</t>
        </is>
      </c>
      <c r="E6" s="18" t="inlineStr">
        <is>
          <t>Discussion 1</t>
        </is>
      </c>
      <c r="F6" s="18">
        <f>TEXT(G6,"ddd")</f>
        <v/>
      </c>
      <c r="G6" s="20">
        <f>Settings!$B$4+(B6-1)*Settings!$B$11+INDEX(Settings!$B$7:$B$9,MATCH(E6,Settings!$A$7:$A$9,0))</f>
        <v/>
      </c>
      <c r="H6" s="21">
        <f>G6-G5</f>
        <v/>
      </c>
      <c r="I6" s="22" t="inlineStr">
        <is>
          <t>arredondo-03-28-24-tao-te-ching-chaps-2-3-when-everyone-knows-beauty-is-beauty</t>
        </is>
      </c>
      <c r="J6" s="18" t="inlineStr">
        <is>
          <t>Planned</t>
        </is>
      </c>
      <c r="K6" s="18" t="n"/>
      <c r="L6" s="18" t="n"/>
      <c r="M6" s="20" t="n"/>
    </row>
    <row r="7" ht="15" customHeight="1" s="16">
      <c r="A7" s="18" t="n">
        <v>6</v>
      </c>
      <c r="B7" s="18">
        <f>INT((A7-1)/3)+1</f>
        <v/>
      </c>
      <c r="C7" s="19" t="n">
        <v>2</v>
      </c>
      <c r="D7" s="18" t="inlineStr">
        <is>
          <t>Everyone Knows</t>
        </is>
      </c>
      <c r="E7" s="18" t="inlineStr">
        <is>
          <t>Discussion 2</t>
        </is>
      </c>
      <c r="F7" s="18">
        <f>TEXT(G7,"ddd")</f>
        <v/>
      </c>
      <c r="G7" s="20">
        <f>Settings!$B$4+(B7-1)*Settings!$B$11+INDEX(Settings!$B$7:$B$9,MATCH(E7,Settings!$A$7:$A$9,0))</f>
        <v/>
      </c>
      <c r="H7" s="21">
        <f>G7-G6</f>
        <v/>
      </c>
      <c r="I7" s="22" t="inlineStr">
        <is>
          <t>arredondo-03-28-24-tao-te-ching-chaps-2-3-when-everyone-knows-beauty-is-beauty</t>
        </is>
      </c>
      <c r="J7" s="18" t="inlineStr">
        <is>
          <t>Planned</t>
        </is>
      </c>
      <c r="K7" s="18" t="n"/>
      <c r="L7" s="18" t="n"/>
      <c r="M7" s="20" t="n"/>
    </row>
    <row r="8" ht="15" customHeight="1" s="16">
      <c r="A8" s="18" t="n">
        <v>7</v>
      </c>
      <c r="B8" s="18">
        <f>INT((A8-1)/3)+1</f>
        <v/>
      </c>
      <c r="C8" s="19" t="n">
        <v>3</v>
      </c>
      <c r="D8" s="18" t="inlineStr">
        <is>
          <t>Not Exalting Cleverness</t>
        </is>
      </c>
      <c r="E8" s="18" t="inlineStr">
        <is>
          <t>Reading</t>
        </is>
      </c>
      <c r="F8" s="18">
        <f>TEXT(G8,"ddd")</f>
        <v/>
      </c>
      <c r="G8" s="20">
        <f>Settings!$B$4+(B8-1)*Settings!$B$11+INDEX(Settings!$B$7:$B$9,MATCH(E8,Settings!$A$7:$A$9,0))</f>
        <v/>
      </c>
      <c r="H8" s="21">
        <f>G8-G7</f>
        <v/>
      </c>
      <c r="I8" s="22" t="inlineStr">
        <is>
          <t>arredondo-03-28-24-tao-te-ching-chaps-2-3-when-everyone-knows-beauty-is-beauty</t>
        </is>
      </c>
      <c r="J8" s="18" t="inlineStr">
        <is>
          <t>Ready</t>
        </is>
      </c>
      <c r="K8" s="18" t="n"/>
      <c r="L8" s="18" t="inlineStr">
        <is>
          <t>Reading Short made and approved (shorts/tao-ch3-not-exalting-cleverness)</t>
        </is>
      </c>
      <c r="M8" s="20" t="n">
        <v>46319</v>
      </c>
    </row>
    <row r="9" ht="15" customHeight="1" s="16">
      <c r="A9" s="18" t="n">
        <v>8</v>
      </c>
      <c r="B9" s="18">
        <f>INT((A9-1)/3)+1</f>
        <v/>
      </c>
      <c r="C9" s="19" t="n">
        <v>3</v>
      </c>
      <c r="D9" s="18" t="inlineStr">
        <is>
          <t>Not Exalting Cleverness</t>
        </is>
      </c>
      <c r="E9" s="18" t="inlineStr">
        <is>
          <t>Discussion 1</t>
        </is>
      </c>
      <c r="F9" s="18">
        <f>TEXT(G9,"ddd")</f>
        <v/>
      </c>
      <c r="G9" s="20">
        <f>Settings!$B$4+(B9-1)*Settings!$B$11+INDEX(Settings!$B$7:$B$9,MATCH(E9,Settings!$A$7:$A$9,0))</f>
        <v/>
      </c>
      <c r="H9" s="21">
        <f>G9-G8</f>
        <v/>
      </c>
      <c r="I9" s="22" t="inlineStr">
        <is>
          <t>arredondo-03-28-24-tao-te-ching-chaps-2-3-when-everyone-knows-beauty-is-beauty</t>
        </is>
      </c>
      <c r="J9" s="18" t="inlineStr">
        <is>
          <t>Planned</t>
        </is>
      </c>
      <c r="K9" s="18" t="n"/>
      <c r="L9" s="18" t="n"/>
      <c r="M9" s="20" t="n"/>
    </row>
    <row r="10" ht="15" customHeight="1" s="16">
      <c r="A10" s="18" t="n">
        <v>9</v>
      </c>
      <c r="B10" s="18">
        <f>INT((A10-1)/3)+1</f>
        <v/>
      </c>
      <c r="C10" s="19" t="n">
        <v>3</v>
      </c>
      <c r="D10" s="18" t="inlineStr">
        <is>
          <t>Not Exalting Cleverness</t>
        </is>
      </c>
      <c r="E10" s="18" t="inlineStr">
        <is>
          <t>Discussion 2</t>
        </is>
      </c>
      <c r="F10" s="18">
        <f>TEXT(G10,"ddd")</f>
        <v/>
      </c>
      <c r="G10" s="20">
        <f>Settings!$B$4+(B10-1)*Settings!$B$11+INDEX(Settings!$B$7:$B$9,MATCH(E10,Settings!$A$7:$A$9,0))</f>
        <v/>
      </c>
      <c r="H10" s="21">
        <f>G10-G9</f>
        <v/>
      </c>
      <c r="I10" s="22" t="inlineStr">
        <is>
          <t>arredondo-03-28-24-tao-te-ching-chaps-2-3-when-everyone-knows-beauty-is-beauty</t>
        </is>
      </c>
      <c r="J10" s="18" t="inlineStr">
        <is>
          <t>Planned</t>
        </is>
      </c>
      <c r="K10" s="18" t="n"/>
      <c r="L10" s="18" t="n"/>
      <c r="M10" s="20" t="n"/>
    </row>
    <row r="11" ht="15" customHeight="1" s="16">
      <c r="A11" s="18" t="n">
        <v>10</v>
      </c>
      <c r="B11" s="18">
        <f>INT((A11-1)/3)+1</f>
        <v/>
      </c>
      <c r="C11" s="19" t="n">
        <v>4</v>
      </c>
      <c r="D11" s="18" t="inlineStr">
        <is>
          <t>The Way Is Unimpeded Harmony</t>
        </is>
      </c>
      <c r="E11" s="18" t="inlineStr">
        <is>
          <t>Reading</t>
        </is>
      </c>
      <c r="F11" s="18">
        <f>TEXT(G11,"ddd")</f>
        <v/>
      </c>
      <c r="G11" s="20">
        <f>Settings!$B$4+(B11-1)*Settings!$B$11+INDEX(Settings!$B$7:$B$9,MATCH(E11,Settings!$A$7:$A$9,0))</f>
        <v/>
      </c>
      <c r="H11" s="21">
        <f>G11-G10</f>
        <v/>
      </c>
      <c r="I11" s="22" t="inlineStr">
        <is>
          <t>arredondo-03-31-24-tao-te-ching-chaps-4-5-the-way-is-unimpeded-harmony</t>
        </is>
      </c>
      <c r="J11" s="18" t="inlineStr">
        <is>
          <t>Planned</t>
        </is>
      </c>
      <c r="K11" s="18" t="n"/>
      <c r="L11" s="18" t="n"/>
      <c r="M11" s="20" t="n"/>
    </row>
    <row r="12" ht="15" customHeight="1" s="16">
      <c r="A12" s="18" t="n">
        <v>11</v>
      </c>
      <c r="B12" s="18">
        <f>INT((A12-1)/3)+1</f>
        <v/>
      </c>
      <c r="C12" s="19" t="n">
        <v>4</v>
      </c>
      <c r="D12" s="18" t="inlineStr">
        <is>
          <t>The Way Is Unimpeded Harmony</t>
        </is>
      </c>
      <c r="E12" s="18" t="inlineStr">
        <is>
          <t>Discussion 1</t>
        </is>
      </c>
      <c r="F12" s="18">
        <f>TEXT(G12,"ddd")</f>
        <v/>
      </c>
      <c r="G12" s="20">
        <f>Settings!$B$4+(B12-1)*Settings!$B$11+INDEX(Settings!$B$7:$B$9,MATCH(E12,Settings!$A$7:$A$9,0))</f>
        <v/>
      </c>
      <c r="H12" s="21">
        <f>G12-G11</f>
        <v/>
      </c>
      <c r="I12" s="22" t="inlineStr">
        <is>
          <t>arredondo-03-31-24-tao-te-ching-chaps-4-5-the-way-is-unimpeded-harmony</t>
        </is>
      </c>
      <c r="J12" s="18" t="inlineStr">
        <is>
          <t>Planned</t>
        </is>
      </c>
      <c r="K12" s="18" t="n"/>
      <c r="L12" s="18" t="n"/>
      <c r="M12" s="20" t="n"/>
    </row>
    <row r="13" ht="15" customHeight="1" s="16">
      <c r="A13" s="18" t="n">
        <v>12</v>
      </c>
      <c r="B13" s="18">
        <f>INT((A13-1)/3)+1</f>
        <v/>
      </c>
      <c r="C13" s="19" t="n">
        <v>4</v>
      </c>
      <c r="D13" s="18" t="inlineStr">
        <is>
          <t>The Way Is Unimpeded Harmony</t>
        </is>
      </c>
      <c r="E13" s="18" t="inlineStr">
        <is>
          <t>Discussion 2</t>
        </is>
      </c>
      <c r="F13" s="18">
        <f>TEXT(G13,"ddd")</f>
        <v/>
      </c>
      <c r="G13" s="20">
        <f>Settings!$B$4+(B13-1)*Settings!$B$11+INDEX(Settings!$B$7:$B$9,MATCH(E13,Settings!$A$7:$A$9,0))</f>
        <v/>
      </c>
      <c r="H13" s="21">
        <f>G13-G12</f>
        <v/>
      </c>
      <c r="I13" s="22" t="inlineStr">
        <is>
          <t>arredondo-03-31-24-tao-te-ching-chaps-4-5-the-way-is-unimpeded-harmony</t>
        </is>
      </c>
      <c r="J13" s="18" t="inlineStr">
        <is>
          <t>Planned</t>
        </is>
      </c>
      <c r="K13" s="18" t="n"/>
      <c r="L13" s="18" t="n"/>
      <c r="M13" s="20" t="n"/>
    </row>
    <row r="14" ht="15" customHeight="1" s="16">
      <c r="A14" s="18" t="n">
        <v>13</v>
      </c>
      <c r="B14" s="18">
        <f>INT((A14-1)/3)+1</f>
        <v/>
      </c>
      <c r="C14" s="19" t="n">
        <v>5</v>
      </c>
      <c r="D14" s="18" t="inlineStr">
        <is>
          <t>Heaven and Earth</t>
        </is>
      </c>
      <c r="E14" s="18" t="inlineStr">
        <is>
          <t>Reading</t>
        </is>
      </c>
      <c r="F14" s="18">
        <f>TEXT(G14,"ddd")</f>
        <v/>
      </c>
      <c r="G14" s="20">
        <f>Settings!$B$4+(B14-1)*Settings!$B$11+INDEX(Settings!$B$7:$B$9,MATCH(E14,Settings!$A$7:$A$9,0))</f>
        <v/>
      </c>
      <c r="H14" s="21">
        <f>G14-G13</f>
        <v/>
      </c>
      <c r="I14" s="22" t="inlineStr">
        <is>
          <t>arredondo-03-31-24-tao-te-ching-chaps-4-5-the-way-is-unimpeded-harmony</t>
        </is>
      </c>
      <c r="J14" s="18" t="inlineStr">
        <is>
          <t>Planned</t>
        </is>
      </c>
      <c r="K14" s="18" t="n"/>
      <c r="L14" s="18" t="n"/>
      <c r="M14" s="20" t="n"/>
    </row>
    <row r="15" ht="15" customHeight="1" s="16">
      <c r="A15" s="18" t="n">
        <v>14</v>
      </c>
      <c r="B15" s="18">
        <f>INT((A15-1)/3)+1</f>
        <v/>
      </c>
      <c r="C15" s="19" t="n">
        <v>5</v>
      </c>
      <c r="D15" s="18" t="inlineStr">
        <is>
          <t>Heaven and Earth</t>
        </is>
      </c>
      <c r="E15" s="18" t="inlineStr">
        <is>
          <t>Discussion 1</t>
        </is>
      </c>
      <c r="F15" s="18">
        <f>TEXT(G15,"ddd")</f>
        <v/>
      </c>
      <c r="G15" s="20">
        <f>Settings!$B$4+(B15-1)*Settings!$B$11+INDEX(Settings!$B$7:$B$9,MATCH(E15,Settings!$A$7:$A$9,0))</f>
        <v/>
      </c>
      <c r="H15" s="21">
        <f>G15-G14</f>
        <v/>
      </c>
      <c r="I15" s="22" t="inlineStr">
        <is>
          <t>arredondo-03-31-24-tao-te-ching-chaps-4-5-the-way-is-unimpeded-harmony</t>
        </is>
      </c>
      <c r="J15" s="18" t="inlineStr">
        <is>
          <t>Planned</t>
        </is>
      </c>
      <c r="K15" s="18" t="n"/>
      <c r="L15" s="18" t="n"/>
      <c r="M15" s="20" t="n"/>
    </row>
    <row r="16" ht="15" customHeight="1" s="16">
      <c r="A16" s="18" t="n">
        <v>15</v>
      </c>
      <c r="B16" s="18">
        <f>INT((A16-1)/3)+1</f>
        <v/>
      </c>
      <c r="C16" s="19" t="n">
        <v>5</v>
      </c>
      <c r="D16" s="18" t="inlineStr">
        <is>
          <t>Heaven and Earth</t>
        </is>
      </c>
      <c r="E16" s="18" t="inlineStr">
        <is>
          <t>Discussion 2</t>
        </is>
      </c>
      <c r="F16" s="18">
        <f>TEXT(G16,"ddd")</f>
        <v/>
      </c>
      <c r="G16" s="20">
        <f>Settings!$B$4+(B16-1)*Settings!$B$11+INDEX(Settings!$B$7:$B$9,MATCH(E16,Settings!$A$7:$A$9,0))</f>
        <v/>
      </c>
      <c r="H16" s="21">
        <f>G16-G15</f>
        <v/>
      </c>
      <c r="I16" s="22" t="inlineStr">
        <is>
          <t>arredondo-03-31-24-tao-te-ching-chaps-4-5-the-way-is-unimpeded-harmony</t>
        </is>
      </c>
      <c r="J16" s="18" t="inlineStr">
        <is>
          <t>Planned</t>
        </is>
      </c>
      <c r="K16" s="18" t="n"/>
      <c r="L16" s="18" t="n"/>
      <c r="M16" s="20" t="n"/>
    </row>
    <row r="17" ht="15" customHeight="1" s="16">
      <c r="A17" s="18" t="n">
        <v>16</v>
      </c>
      <c r="B17" s="18">
        <f>INT((A17-1)/3)+1</f>
        <v/>
      </c>
      <c r="C17" s="19" t="n">
        <v>6</v>
      </c>
      <c r="D17" s="18" t="inlineStr">
        <is>
          <t>The Valley Spirit</t>
        </is>
      </c>
      <c r="E17" s="18" t="inlineStr">
        <is>
          <t>Reading</t>
        </is>
      </c>
      <c r="F17" s="18">
        <f>TEXT(G17,"ddd")</f>
        <v/>
      </c>
      <c r="G17" s="20">
        <f>Settings!$B$4+(B17-1)*Settings!$B$11+INDEX(Settings!$B$7:$B$9,MATCH(E17,Settings!$A$7:$A$9,0))</f>
        <v/>
      </c>
      <c r="H17" s="21">
        <f>G17-G16</f>
        <v/>
      </c>
      <c r="I17" s="22" t="inlineStr">
        <is>
          <t>arredondo-04-03-24-tao-te-ching-chaps-6-8-the-opening-of-the-mysterious-female</t>
        </is>
      </c>
      <c r="J17" s="18" t="inlineStr">
        <is>
          <t>Planned</t>
        </is>
      </c>
      <c r="K17" s="18" t="n"/>
      <c r="L17" s="18" t="n"/>
      <c r="M17" s="20" t="n"/>
    </row>
    <row r="18" ht="15" customHeight="1" s="16">
      <c r="A18" s="18" t="n">
        <v>17</v>
      </c>
      <c r="B18" s="18">
        <f>INT((A18-1)/3)+1</f>
        <v/>
      </c>
      <c r="C18" s="19" t="n">
        <v>6</v>
      </c>
      <c r="D18" s="18" t="inlineStr">
        <is>
          <t>The Valley Spirit</t>
        </is>
      </c>
      <c r="E18" s="18" t="inlineStr">
        <is>
          <t>Discussion 1</t>
        </is>
      </c>
      <c r="F18" s="18">
        <f>TEXT(G18,"ddd")</f>
        <v/>
      </c>
      <c r="G18" s="20">
        <f>Settings!$B$4+(B18-1)*Settings!$B$11+INDEX(Settings!$B$7:$B$9,MATCH(E18,Settings!$A$7:$A$9,0))</f>
        <v/>
      </c>
      <c r="H18" s="21">
        <f>G18-G17</f>
        <v/>
      </c>
      <c r="I18" s="22" t="inlineStr">
        <is>
          <t>arredondo-04-03-24-tao-te-ching-chaps-6-8-the-opening-of-the-mysterious-female</t>
        </is>
      </c>
      <c r="J18" s="18" t="inlineStr">
        <is>
          <t>Planned</t>
        </is>
      </c>
      <c r="K18" s="18" t="n"/>
      <c r="L18" s="18" t="n"/>
      <c r="M18" s="20" t="n"/>
    </row>
    <row r="19" ht="15" customHeight="1" s="16">
      <c r="A19" s="18" t="n">
        <v>18</v>
      </c>
      <c r="B19" s="18">
        <f>INT((A19-1)/3)+1</f>
        <v/>
      </c>
      <c r="C19" s="19" t="n">
        <v>6</v>
      </c>
      <c r="D19" s="18" t="inlineStr">
        <is>
          <t>The Valley Spirit</t>
        </is>
      </c>
      <c r="E19" s="18" t="inlineStr">
        <is>
          <t>Discussion 2</t>
        </is>
      </c>
      <c r="F19" s="18">
        <f>TEXT(G19,"ddd")</f>
        <v/>
      </c>
      <c r="G19" s="20">
        <f>Settings!$B$4+(B19-1)*Settings!$B$11+INDEX(Settings!$B$7:$B$9,MATCH(E19,Settings!$A$7:$A$9,0))</f>
        <v/>
      </c>
      <c r="H19" s="21">
        <f>G19-G18</f>
        <v/>
      </c>
      <c r="I19" s="22" t="inlineStr">
        <is>
          <t>arredondo-04-03-24-tao-te-ching-chaps-6-8-the-opening-of-the-mysterious-female</t>
        </is>
      </c>
      <c r="J19" s="18" t="inlineStr">
        <is>
          <t>Planned</t>
        </is>
      </c>
      <c r="K19" s="18" t="n"/>
      <c r="L19" s="18" t="n"/>
      <c r="M19" s="20" t="n"/>
    </row>
    <row r="20" ht="15" customHeight="1" s="16">
      <c r="A20" s="18" t="n">
        <v>19</v>
      </c>
      <c r="B20" s="18">
        <f>INT((A20-1)/3)+1</f>
        <v/>
      </c>
      <c r="C20" s="19" t="n">
        <v>7</v>
      </c>
      <c r="D20" s="18" t="inlineStr">
        <is>
          <t>Heaven Is Eternal, Earth Is Everlasting</t>
        </is>
      </c>
      <c r="E20" s="18" t="inlineStr">
        <is>
          <t>Reading</t>
        </is>
      </c>
      <c r="F20" s="18">
        <f>TEXT(G20,"ddd")</f>
        <v/>
      </c>
      <c r="G20" s="20">
        <f>Settings!$B$4+(B20-1)*Settings!$B$11+INDEX(Settings!$B$7:$B$9,MATCH(E20,Settings!$A$7:$A$9,0))</f>
        <v/>
      </c>
      <c r="H20" s="21">
        <f>G20-G19</f>
        <v/>
      </c>
      <c r="I20" s="22" t="inlineStr">
        <is>
          <t>arredondo-04-03-24-tao-te-ching-chaps-6-8-the-opening-of-the-mysterious-female</t>
        </is>
      </c>
      <c r="J20" s="18" t="inlineStr">
        <is>
          <t>Planned</t>
        </is>
      </c>
      <c r="K20" s="18" t="n"/>
      <c r="L20" s="18" t="n"/>
      <c r="M20" s="20" t="n"/>
    </row>
    <row r="21" ht="15" customHeight="1" s="16">
      <c r="A21" s="18" t="n">
        <v>20</v>
      </c>
      <c r="B21" s="18">
        <f>INT((A21-1)/3)+1</f>
        <v/>
      </c>
      <c r="C21" s="19" t="n">
        <v>7</v>
      </c>
      <c r="D21" s="18" t="inlineStr">
        <is>
          <t>Heaven Is Eternal, Earth Is Everlasting</t>
        </is>
      </c>
      <c r="E21" s="18" t="inlineStr">
        <is>
          <t>Discussion 1</t>
        </is>
      </c>
      <c r="F21" s="18">
        <f>TEXT(G21,"ddd")</f>
        <v/>
      </c>
      <c r="G21" s="20">
        <f>Settings!$B$4+(B21-1)*Settings!$B$11+INDEX(Settings!$B$7:$B$9,MATCH(E21,Settings!$A$7:$A$9,0))</f>
        <v/>
      </c>
      <c r="H21" s="21">
        <f>G21-G20</f>
        <v/>
      </c>
      <c r="I21" s="22" t="inlineStr">
        <is>
          <t>arredondo-04-03-24-tao-te-ching-chaps-6-8-the-opening-of-the-mysterious-female</t>
        </is>
      </c>
      <c r="J21" s="18" t="inlineStr">
        <is>
          <t>Planned</t>
        </is>
      </c>
      <c r="K21" s="18" t="n"/>
      <c r="L21" s="18" t="n"/>
      <c r="M21" s="20" t="n"/>
    </row>
    <row r="22" ht="15" customHeight="1" s="16">
      <c r="A22" s="18" t="n">
        <v>21</v>
      </c>
      <c r="B22" s="18">
        <f>INT((A22-1)/3)+1</f>
        <v/>
      </c>
      <c r="C22" s="19" t="n">
        <v>7</v>
      </c>
      <c r="D22" s="18" t="inlineStr">
        <is>
          <t>Heaven Is Eternal, Earth Is Everlasting</t>
        </is>
      </c>
      <c r="E22" s="18" t="inlineStr">
        <is>
          <t>Discussion 2</t>
        </is>
      </c>
      <c r="F22" s="18">
        <f>TEXT(G22,"ddd")</f>
        <v/>
      </c>
      <c r="G22" s="20">
        <f>Settings!$B$4+(B22-1)*Settings!$B$11+INDEX(Settings!$B$7:$B$9,MATCH(E22,Settings!$A$7:$A$9,0))</f>
        <v/>
      </c>
      <c r="H22" s="21">
        <f>G22-G21</f>
        <v/>
      </c>
      <c r="I22" s="22" t="inlineStr">
        <is>
          <t>arredondo-04-03-24-tao-te-ching-chaps-6-8-the-opening-of-the-mysterious-female</t>
        </is>
      </c>
      <c r="J22" s="18" t="inlineStr">
        <is>
          <t>Planned</t>
        </is>
      </c>
      <c r="K22" s="18" t="n"/>
      <c r="L22" s="18" t="n"/>
      <c r="M22" s="20" t="n"/>
    </row>
    <row r="23" ht="15" customHeight="1" s="16">
      <c r="A23" s="18" t="n">
        <v>22</v>
      </c>
      <c r="B23" s="18">
        <f>INT((A23-1)/3)+1</f>
        <v/>
      </c>
      <c r="C23" s="19" t="n">
        <v>8</v>
      </c>
      <c r="D23" s="18" t="inlineStr">
        <is>
          <t>Higher Good Is like Water</t>
        </is>
      </c>
      <c r="E23" s="18" t="inlineStr">
        <is>
          <t>Reading</t>
        </is>
      </c>
      <c r="F23" s="18">
        <f>TEXT(G23,"ddd")</f>
        <v/>
      </c>
      <c r="G23" s="20">
        <f>Settings!$B$4+(B23-1)*Settings!$B$11+INDEX(Settings!$B$7:$B$9,MATCH(E23,Settings!$A$7:$A$9,0))</f>
        <v/>
      </c>
      <c r="H23" s="21">
        <f>G23-G22</f>
        <v/>
      </c>
      <c r="I23" s="22" t="inlineStr">
        <is>
          <t>arredondo-04-03-24-tao-te-ching-chaps-6-8-the-opening-of-the-mysterious-female</t>
        </is>
      </c>
      <c r="J23" s="18" t="inlineStr">
        <is>
          <t>Planned</t>
        </is>
      </c>
      <c r="K23" s="18" t="n"/>
      <c r="L23" s="18" t="n"/>
      <c r="M23" s="20" t="n"/>
    </row>
    <row r="24" ht="15" customHeight="1" s="16">
      <c r="A24" s="18" t="n">
        <v>23</v>
      </c>
      <c r="B24" s="18">
        <f>INT((A24-1)/3)+1</f>
        <v/>
      </c>
      <c r="C24" s="19" t="n">
        <v>8</v>
      </c>
      <c r="D24" s="18" t="inlineStr">
        <is>
          <t>Higher Good Is like Water</t>
        </is>
      </c>
      <c r="E24" s="18" t="inlineStr">
        <is>
          <t>Discussion 1</t>
        </is>
      </c>
      <c r="F24" s="18">
        <f>TEXT(G24,"ddd")</f>
        <v/>
      </c>
      <c r="G24" s="20">
        <f>Settings!$B$4+(B24-1)*Settings!$B$11+INDEX(Settings!$B$7:$B$9,MATCH(E24,Settings!$A$7:$A$9,0))</f>
        <v/>
      </c>
      <c r="H24" s="21">
        <f>G24-G23</f>
        <v/>
      </c>
      <c r="I24" s="22" t="inlineStr">
        <is>
          <t>arredondo-04-03-24-tao-te-ching-chaps-6-8-the-opening-of-the-mysterious-female</t>
        </is>
      </c>
      <c r="J24" s="18" t="inlineStr">
        <is>
          <t>Planned</t>
        </is>
      </c>
      <c r="K24" s="18" t="n"/>
      <c r="L24" s="18" t="n"/>
      <c r="M24" s="20" t="n"/>
    </row>
    <row r="25" ht="15" customHeight="1" s="16">
      <c r="A25" s="18" t="n">
        <v>24</v>
      </c>
      <c r="B25" s="18">
        <f>INT((A25-1)/3)+1</f>
        <v/>
      </c>
      <c r="C25" s="19" t="n">
        <v>8</v>
      </c>
      <c r="D25" s="18" t="inlineStr">
        <is>
          <t>Higher Good Is like Water</t>
        </is>
      </c>
      <c r="E25" s="18" t="inlineStr">
        <is>
          <t>Discussion 2</t>
        </is>
      </c>
      <c r="F25" s="18">
        <f>TEXT(G25,"ddd")</f>
        <v/>
      </c>
      <c r="G25" s="20">
        <f>Settings!$B$4+(B25-1)*Settings!$B$11+INDEX(Settings!$B$7:$B$9,MATCH(E25,Settings!$A$7:$A$9,0))</f>
        <v/>
      </c>
      <c r="H25" s="21">
        <f>G25-G24</f>
        <v/>
      </c>
      <c r="I25" s="22" t="inlineStr">
        <is>
          <t>arredondo-04-03-24-tao-te-ching-chaps-6-8-the-opening-of-the-mysterious-female</t>
        </is>
      </c>
      <c r="J25" s="18" t="inlineStr">
        <is>
          <t>Planned</t>
        </is>
      </c>
      <c r="K25" s="18" t="n"/>
      <c r="L25" s="18" t="n"/>
      <c r="M25" s="20" t="n"/>
    </row>
    <row r="26" ht="15" customHeight="1" s="16">
      <c r="A26" s="18" t="n">
        <v>25</v>
      </c>
      <c r="B26" s="18">
        <f>INT((A26-1)/3)+1</f>
        <v/>
      </c>
      <c r="C26" s="19" t="n">
        <v>9</v>
      </c>
      <c r="D26" s="18" t="inlineStr">
        <is>
          <t>To Keep on Filling</t>
        </is>
      </c>
      <c r="E26" s="18" t="inlineStr">
        <is>
          <t>Reading</t>
        </is>
      </c>
      <c r="F26" s="18">
        <f>TEXT(G26,"ddd")</f>
        <v/>
      </c>
      <c r="G26" s="20">
        <f>Settings!$B$4+(B26-1)*Settings!$B$11+INDEX(Settings!$B$7:$B$9,MATCH(E26,Settings!$A$7:$A$9,0))</f>
        <v/>
      </c>
      <c r="H26" s="21">
        <f>G26-G25</f>
        <v/>
      </c>
      <c r="I26" s="22" t="inlineStr">
        <is>
          <t>arredondo-04-04-24-tao-te-ching-chaps-9-10-vitality-and-consciousness-april-4-2</t>
        </is>
      </c>
      <c r="J26" s="18" t="inlineStr">
        <is>
          <t>Planned</t>
        </is>
      </c>
      <c r="K26" s="18" t="n"/>
      <c r="L26" s="18" t="n"/>
      <c r="M26" s="20" t="n"/>
    </row>
    <row r="27" ht="15" customHeight="1" s="16">
      <c r="A27" s="18" t="n">
        <v>26</v>
      </c>
      <c r="B27" s="18">
        <f>INT((A27-1)/3)+1</f>
        <v/>
      </c>
      <c r="C27" s="19" t="n">
        <v>9</v>
      </c>
      <c r="D27" s="18" t="inlineStr">
        <is>
          <t>To Keep on Filling</t>
        </is>
      </c>
      <c r="E27" s="18" t="inlineStr">
        <is>
          <t>Discussion 1</t>
        </is>
      </c>
      <c r="F27" s="18">
        <f>TEXT(G27,"ddd")</f>
        <v/>
      </c>
      <c r="G27" s="20">
        <f>Settings!$B$4+(B27-1)*Settings!$B$11+INDEX(Settings!$B$7:$B$9,MATCH(E27,Settings!$A$7:$A$9,0))</f>
        <v/>
      </c>
      <c r="H27" s="21">
        <f>G27-G26</f>
        <v/>
      </c>
      <c r="I27" s="22" t="inlineStr">
        <is>
          <t>arredondo-04-04-24-tao-te-ching-chaps-9-10-vitality-and-consciousness-april-4-2</t>
        </is>
      </c>
      <c r="J27" s="18" t="inlineStr">
        <is>
          <t>Planned</t>
        </is>
      </c>
      <c r="K27" s="18" t="n"/>
      <c r="L27" s="18" t="n"/>
      <c r="M27" s="20" t="n"/>
    </row>
    <row r="28" ht="15" customHeight="1" s="16">
      <c r="A28" s="18" t="n">
        <v>27</v>
      </c>
      <c r="B28" s="18">
        <f>INT((A28-1)/3)+1</f>
        <v/>
      </c>
      <c r="C28" s="19" t="n">
        <v>9</v>
      </c>
      <c r="D28" s="18" t="inlineStr">
        <is>
          <t>To Keep on Filling</t>
        </is>
      </c>
      <c r="E28" s="18" t="inlineStr">
        <is>
          <t>Discussion 2</t>
        </is>
      </c>
      <c r="F28" s="18">
        <f>TEXT(G28,"ddd")</f>
        <v/>
      </c>
      <c r="G28" s="20">
        <f>Settings!$B$4+(B28-1)*Settings!$B$11+INDEX(Settings!$B$7:$B$9,MATCH(E28,Settings!$A$7:$A$9,0))</f>
        <v/>
      </c>
      <c r="H28" s="21">
        <f>G28-G27</f>
        <v/>
      </c>
      <c r="I28" s="22" t="inlineStr">
        <is>
          <t>arredondo-04-04-24-tao-te-ching-chaps-9-10-vitality-and-consciousness-april-4-2</t>
        </is>
      </c>
      <c r="J28" s="18" t="inlineStr">
        <is>
          <t>Planned</t>
        </is>
      </c>
      <c r="K28" s="18" t="n"/>
      <c r="L28" s="18" t="n"/>
      <c r="M28" s="20" t="n"/>
    </row>
    <row r="29" ht="15" customHeight="1" s="16">
      <c r="A29" s="18" t="n">
        <v>28</v>
      </c>
      <c r="B29" s="18">
        <f>INT((A29-1)/3)+1</f>
        <v/>
      </c>
      <c r="C29" s="19" t="n">
        <v>10</v>
      </c>
      <c r="D29" s="18" t="inlineStr">
        <is>
          <t>Carrying Vitality and Consciousness</t>
        </is>
      </c>
      <c r="E29" s="18" t="inlineStr">
        <is>
          <t>Reading</t>
        </is>
      </c>
      <c r="F29" s="18">
        <f>TEXT(G29,"ddd")</f>
        <v/>
      </c>
      <c r="G29" s="20">
        <f>Settings!$B$4+(B29-1)*Settings!$B$11+INDEX(Settings!$B$7:$B$9,MATCH(E29,Settings!$A$7:$A$9,0))</f>
        <v/>
      </c>
      <c r="H29" s="21">
        <f>G29-G28</f>
        <v/>
      </c>
      <c r="I29" s="22" t="inlineStr">
        <is>
          <t>arredondo-04-04-24-tao-te-ching-chaps-9-10-vitality-and-consciousness-april-4-2</t>
        </is>
      </c>
      <c r="J29" s="18" t="inlineStr">
        <is>
          <t>Planned</t>
        </is>
      </c>
      <c r="K29" s="18" t="n"/>
      <c r="L29" s="18" t="n"/>
      <c r="M29" s="20" t="n"/>
    </row>
    <row r="30" ht="15" customHeight="1" s="16">
      <c r="A30" s="18" t="n">
        <v>29</v>
      </c>
      <c r="B30" s="18">
        <f>INT((A30-1)/3)+1</f>
        <v/>
      </c>
      <c r="C30" s="19" t="n">
        <v>10</v>
      </c>
      <c r="D30" s="18" t="inlineStr">
        <is>
          <t>Carrying Vitality and Consciousness</t>
        </is>
      </c>
      <c r="E30" s="18" t="inlineStr">
        <is>
          <t>Discussion 1</t>
        </is>
      </c>
      <c r="F30" s="18">
        <f>TEXT(G30,"ddd")</f>
        <v/>
      </c>
      <c r="G30" s="20">
        <f>Settings!$B$4+(B30-1)*Settings!$B$11+INDEX(Settings!$B$7:$B$9,MATCH(E30,Settings!$A$7:$A$9,0))</f>
        <v/>
      </c>
      <c r="H30" s="21">
        <f>G30-G29</f>
        <v/>
      </c>
      <c r="I30" s="22" t="inlineStr">
        <is>
          <t>arredondo-04-04-24-tao-te-ching-chaps-9-10-vitality-and-consciousness-april-4-2</t>
        </is>
      </c>
      <c r="J30" s="18" t="inlineStr">
        <is>
          <t>Planned</t>
        </is>
      </c>
      <c r="K30" s="18" t="n"/>
      <c r="L30" s="18" t="n"/>
      <c r="M30" s="20" t="n"/>
    </row>
    <row r="31" ht="15" customHeight="1" s="16">
      <c r="A31" s="18" t="n">
        <v>30</v>
      </c>
      <c r="B31" s="18">
        <f>INT((A31-1)/3)+1</f>
        <v/>
      </c>
      <c r="C31" s="19" t="n">
        <v>10</v>
      </c>
      <c r="D31" s="18" t="inlineStr">
        <is>
          <t>Carrying Vitality and Consciousness</t>
        </is>
      </c>
      <c r="E31" s="18" t="inlineStr">
        <is>
          <t>Discussion 2</t>
        </is>
      </c>
      <c r="F31" s="18">
        <f>TEXT(G31,"ddd")</f>
        <v/>
      </c>
      <c r="G31" s="20">
        <f>Settings!$B$4+(B31-1)*Settings!$B$11+INDEX(Settings!$B$7:$B$9,MATCH(E31,Settings!$A$7:$A$9,0))</f>
        <v/>
      </c>
      <c r="H31" s="21">
        <f>G31-G30</f>
        <v/>
      </c>
      <c r="I31" s="22" t="inlineStr">
        <is>
          <t>arredondo-04-04-24-tao-te-ching-chaps-9-10-vitality-and-consciousness-april-4-2</t>
        </is>
      </c>
      <c r="J31" s="18" t="inlineStr">
        <is>
          <t>Planned</t>
        </is>
      </c>
      <c r="K31" s="18" t="n"/>
      <c r="L31" s="18" t="n"/>
      <c r="M31" s="20" t="n"/>
    </row>
    <row r="32" ht="15" customHeight="1" s="16">
      <c r="A32" s="18" t="n">
        <v>31</v>
      </c>
      <c r="B32" s="18">
        <f>INT((A32-1)/3)+1</f>
        <v/>
      </c>
      <c r="C32" s="19" t="n">
        <v>11</v>
      </c>
      <c r="D32" s="18" t="inlineStr">
        <is>
          <t>Thirty Spokes</t>
        </is>
      </c>
      <c r="E32" s="18" t="inlineStr">
        <is>
          <t>Reading</t>
        </is>
      </c>
      <c r="F32" s="18">
        <f>TEXT(G32,"ddd")</f>
        <v/>
      </c>
      <c r="G32" s="20">
        <f>Settings!$B$4+(B32-1)*Settings!$B$11+INDEX(Settings!$B$7:$B$9,MATCH(E32,Settings!$A$7:$A$9,0))</f>
        <v/>
      </c>
      <c r="H32" s="21">
        <f>G32-G31</f>
        <v/>
      </c>
      <c r="I32" s="22" t="inlineStr">
        <is>
          <t>arredondo-04-05-24-tao-te-ching-chaps-11-13-thirty-spokes-colors-favor-and-disg</t>
        </is>
      </c>
      <c r="J32" s="18" t="inlineStr">
        <is>
          <t>Planned</t>
        </is>
      </c>
      <c r="K32" s="18" t="n"/>
      <c r="L32" s="18" t="n"/>
      <c r="M32" s="20" t="n"/>
    </row>
    <row r="33" ht="15" customHeight="1" s="16">
      <c r="A33" s="18" t="n">
        <v>32</v>
      </c>
      <c r="B33" s="18">
        <f>INT((A33-1)/3)+1</f>
        <v/>
      </c>
      <c r="C33" s="19" t="n">
        <v>11</v>
      </c>
      <c r="D33" s="18" t="inlineStr">
        <is>
          <t>Thirty Spokes</t>
        </is>
      </c>
      <c r="E33" s="18" t="inlineStr">
        <is>
          <t>Discussion 1</t>
        </is>
      </c>
      <c r="F33" s="18">
        <f>TEXT(G33,"ddd")</f>
        <v/>
      </c>
      <c r="G33" s="20">
        <f>Settings!$B$4+(B33-1)*Settings!$B$11+INDEX(Settings!$B$7:$B$9,MATCH(E33,Settings!$A$7:$A$9,0))</f>
        <v/>
      </c>
      <c r="H33" s="21">
        <f>G33-G32</f>
        <v/>
      </c>
      <c r="I33" s="22" t="inlineStr">
        <is>
          <t>arredondo-04-05-24-tao-te-ching-chaps-11-13-thirty-spokes-colors-favor-and-disg</t>
        </is>
      </c>
      <c r="J33" s="18" t="inlineStr">
        <is>
          <t>Planned</t>
        </is>
      </c>
      <c r="K33" s="18" t="n"/>
      <c r="L33" s="18" t="n"/>
      <c r="M33" s="20" t="n"/>
    </row>
    <row r="34" ht="15" customHeight="1" s="16">
      <c r="A34" s="18" t="n">
        <v>33</v>
      </c>
      <c r="B34" s="18">
        <f>INT((A34-1)/3)+1</f>
        <v/>
      </c>
      <c r="C34" s="19" t="n">
        <v>11</v>
      </c>
      <c r="D34" s="18" t="inlineStr">
        <is>
          <t>Thirty Spokes</t>
        </is>
      </c>
      <c r="E34" s="18" t="inlineStr">
        <is>
          <t>Discussion 2</t>
        </is>
      </c>
      <c r="F34" s="18">
        <f>TEXT(G34,"ddd")</f>
        <v/>
      </c>
      <c r="G34" s="20">
        <f>Settings!$B$4+(B34-1)*Settings!$B$11+INDEX(Settings!$B$7:$B$9,MATCH(E34,Settings!$A$7:$A$9,0))</f>
        <v/>
      </c>
      <c r="H34" s="21">
        <f>G34-G33</f>
        <v/>
      </c>
      <c r="I34" s="22" t="inlineStr">
        <is>
          <t>arredondo-04-05-24-tao-te-ching-chaps-11-13-thirty-spokes-colors-favor-and-disg</t>
        </is>
      </c>
      <c r="J34" s="18" t="inlineStr">
        <is>
          <t>Planned</t>
        </is>
      </c>
      <c r="K34" s="18" t="n"/>
      <c r="L34" s="18" t="n"/>
      <c r="M34" s="20" t="n"/>
    </row>
    <row r="35" ht="15" customHeight="1" s="16">
      <c r="A35" s="18" t="n">
        <v>34</v>
      </c>
      <c r="B35" s="18">
        <f>INT((A35-1)/3)+1</f>
        <v/>
      </c>
      <c r="C35" s="19" t="n">
        <v>12</v>
      </c>
      <c r="D35" s="18" t="inlineStr">
        <is>
          <t>Colors</t>
        </is>
      </c>
      <c r="E35" s="18" t="inlineStr">
        <is>
          <t>Reading</t>
        </is>
      </c>
      <c r="F35" s="18">
        <f>TEXT(G35,"ddd")</f>
        <v/>
      </c>
      <c r="G35" s="20">
        <f>Settings!$B$4+(B35-1)*Settings!$B$11+INDEX(Settings!$B$7:$B$9,MATCH(E35,Settings!$A$7:$A$9,0))</f>
        <v/>
      </c>
      <c r="H35" s="21">
        <f>G35-G34</f>
        <v/>
      </c>
      <c r="I35" s="22" t="inlineStr">
        <is>
          <t>arredondo-04-05-24-tao-te-ching-chaps-11-13-thirty-spokes-colors-favor-and-disg</t>
        </is>
      </c>
      <c r="J35" s="18" t="inlineStr">
        <is>
          <t>Planned</t>
        </is>
      </c>
      <c r="K35" s="18" t="n"/>
      <c r="L35" s="18" t="n"/>
      <c r="M35" s="20" t="n"/>
    </row>
    <row r="36" ht="15" customHeight="1" s="16">
      <c r="A36" s="18" t="n">
        <v>35</v>
      </c>
      <c r="B36" s="18">
        <f>INT((A36-1)/3)+1</f>
        <v/>
      </c>
      <c r="C36" s="19" t="n">
        <v>12</v>
      </c>
      <c r="D36" s="18" t="inlineStr">
        <is>
          <t>Colors</t>
        </is>
      </c>
      <c r="E36" s="18" t="inlineStr">
        <is>
          <t>Discussion 1</t>
        </is>
      </c>
      <c r="F36" s="18">
        <f>TEXT(G36,"ddd")</f>
        <v/>
      </c>
      <c r="G36" s="20">
        <f>Settings!$B$4+(B36-1)*Settings!$B$11+INDEX(Settings!$B$7:$B$9,MATCH(E36,Settings!$A$7:$A$9,0))</f>
        <v/>
      </c>
      <c r="H36" s="21">
        <f>G36-G35</f>
        <v/>
      </c>
      <c r="I36" s="22" t="inlineStr">
        <is>
          <t>arredondo-04-05-24-tao-te-ching-chaps-11-13-thirty-spokes-colors-favor-and-disg</t>
        </is>
      </c>
      <c r="J36" s="18" t="inlineStr">
        <is>
          <t>Planned</t>
        </is>
      </c>
      <c r="K36" s="18" t="n"/>
      <c r="L36" s="18" t="n"/>
      <c r="M36" s="20" t="n"/>
    </row>
    <row r="37" ht="15" customHeight="1" s="16">
      <c r="A37" s="18" t="n">
        <v>36</v>
      </c>
      <c r="B37" s="18">
        <f>INT((A37-1)/3)+1</f>
        <v/>
      </c>
      <c r="C37" s="19" t="n">
        <v>12</v>
      </c>
      <c r="D37" s="18" t="inlineStr">
        <is>
          <t>Colors</t>
        </is>
      </c>
      <c r="E37" s="18" t="inlineStr">
        <is>
          <t>Discussion 2</t>
        </is>
      </c>
      <c r="F37" s="18">
        <f>TEXT(G37,"ddd")</f>
        <v/>
      </c>
      <c r="G37" s="20">
        <f>Settings!$B$4+(B37-1)*Settings!$B$11+INDEX(Settings!$B$7:$B$9,MATCH(E37,Settings!$A$7:$A$9,0))</f>
        <v/>
      </c>
      <c r="H37" s="21">
        <f>G37-G36</f>
        <v/>
      </c>
      <c r="I37" s="22" t="inlineStr">
        <is>
          <t>arredondo-04-05-24-tao-te-ching-chaps-11-13-thirty-spokes-colors-favor-and-disg</t>
        </is>
      </c>
      <c r="J37" s="18" t="inlineStr">
        <is>
          <t>Planned</t>
        </is>
      </c>
      <c r="K37" s="18" t="n"/>
      <c r="L37" s="18" t="n"/>
      <c r="M37" s="20" t="n"/>
    </row>
    <row r="38" ht="15" customHeight="1" s="16">
      <c r="A38" s="18" t="n">
        <v>37</v>
      </c>
      <c r="B38" s="18">
        <f>INT((A38-1)/3)+1</f>
        <v/>
      </c>
      <c r="C38" s="19" t="n">
        <v>13</v>
      </c>
      <c r="D38" s="18" t="inlineStr">
        <is>
          <t>Favor and Disgrace</t>
        </is>
      </c>
      <c r="E38" s="18" t="inlineStr">
        <is>
          <t>Reading</t>
        </is>
      </c>
      <c r="F38" s="18">
        <f>TEXT(G38,"ddd")</f>
        <v/>
      </c>
      <c r="G38" s="20">
        <f>Settings!$B$4+(B38-1)*Settings!$B$11+INDEX(Settings!$B$7:$B$9,MATCH(E38,Settings!$A$7:$A$9,0))</f>
        <v/>
      </c>
      <c r="H38" s="21">
        <f>G38-G37</f>
        <v/>
      </c>
      <c r="I38" s="22" t="inlineStr">
        <is>
          <t>arredondo-04-05-24-tao-te-ching-chaps-11-13-thirty-spokes-colors-favor-and-disg</t>
        </is>
      </c>
      <c r="J38" s="18" t="inlineStr">
        <is>
          <t>Planned</t>
        </is>
      </c>
      <c r="K38" s="18" t="n"/>
      <c r="L38" s="18" t="n"/>
      <c r="M38" s="20" t="n"/>
    </row>
    <row r="39" ht="15" customHeight="1" s="16">
      <c r="A39" s="18" t="n">
        <v>38</v>
      </c>
      <c r="B39" s="18">
        <f>INT((A39-1)/3)+1</f>
        <v/>
      </c>
      <c r="C39" s="19" t="n">
        <v>13</v>
      </c>
      <c r="D39" s="18" t="inlineStr">
        <is>
          <t>Favor and Disgrace</t>
        </is>
      </c>
      <c r="E39" s="18" t="inlineStr">
        <is>
          <t>Discussion 1</t>
        </is>
      </c>
      <c r="F39" s="18">
        <f>TEXT(G39,"ddd")</f>
        <v/>
      </c>
      <c r="G39" s="20">
        <f>Settings!$B$4+(B39-1)*Settings!$B$11+INDEX(Settings!$B$7:$B$9,MATCH(E39,Settings!$A$7:$A$9,0))</f>
        <v/>
      </c>
      <c r="H39" s="21">
        <f>G39-G38</f>
        <v/>
      </c>
      <c r="I39" s="22" t="inlineStr">
        <is>
          <t>arredondo-04-05-24-tao-te-ching-chaps-11-13-thirty-spokes-colors-favor-and-disg</t>
        </is>
      </c>
      <c r="J39" s="18" t="inlineStr">
        <is>
          <t>Planned</t>
        </is>
      </c>
      <c r="K39" s="18" t="n"/>
      <c r="L39" s="18" t="n"/>
      <c r="M39" s="20" t="n"/>
    </row>
    <row r="40" ht="15" customHeight="1" s="16">
      <c r="A40" s="18" t="n">
        <v>39</v>
      </c>
      <c r="B40" s="18">
        <f>INT((A40-1)/3)+1</f>
        <v/>
      </c>
      <c r="C40" s="19" t="n">
        <v>13</v>
      </c>
      <c r="D40" s="18" t="inlineStr">
        <is>
          <t>Favor and Disgrace</t>
        </is>
      </c>
      <c r="E40" s="18" t="inlineStr">
        <is>
          <t>Discussion 2</t>
        </is>
      </c>
      <c r="F40" s="18">
        <f>TEXT(G40,"ddd")</f>
        <v/>
      </c>
      <c r="G40" s="20">
        <f>Settings!$B$4+(B40-1)*Settings!$B$11+INDEX(Settings!$B$7:$B$9,MATCH(E40,Settings!$A$7:$A$9,0))</f>
        <v/>
      </c>
      <c r="H40" s="21">
        <f>G40-G39</f>
        <v/>
      </c>
      <c r="I40" s="22" t="inlineStr">
        <is>
          <t>arredondo-04-05-24-tao-te-ching-chaps-11-13-thirty-spokes-colors-favor-and-disg</t>
        </is>
      </c>
      <c r="J40" s="18" t="inlineStr">
        <is>
          <t>Planned</t>
        </is>
      </c>
      <c r="K40" s="18" t="n"/>
      <c r="L40" s="18" t="n"/>
      <c r="M40" s="20" t="n"/>
    </row>
    <row r="41" ht="15" customHeight="1" s="16">
      <c r="A41" s="18" t="n">
        <v>40</v>
      </c>
      <c r="B41" s="18">
        <f>INT((A41-1)/3)+1</f>
        <v/>
      </c>
      <c r="C41" s="19" t="n">
        <v>14</v>
      </c>
      <c r="D41" s="18" t="inlineStr">
        <is>
          <t>When You Look at It You Don't See It</t>
        </is>
      </c>
      <c r="E41" s="18" t="inlineStr">
        <is>
          <t>Reading</t>
        </is>
      </c>
      <c r="F41" s="18">
        <f>TEXT(G41,"ddd")</f>
        <v/>
      </c>
      <c r="G41" s="20">
        <f>Settings!$B$4+(B41-1)*Settings!$B$11+INDEX(Settings!$B$7:$B$9,MATCH(E41,Settings!$A$7:$A$9,0))</f>
        <v/>
      </c>
      <c r="H41" s="21">
        <f>G41-G40</f>
        <v/>
      </c>
      <c r="I41" s="22" t="inlineStr">
        <is>
          <t>arredondo-04-09-24-tao-te-ching-chaps-14-15-what-you-don-t-see-skilled-warriors</t>
        </is>
      </c>
      <c r="J41" s="18" t="inlineStr">
        <is>
          <t>Planned</t>
        </is>
      </c>
      <c r="K41" s="18" t="n"/>
      <c r="L41" s="18" t="n"/>
      <c r="M41" s="20" t="n"/>
    </row>
    <row r="42" ht="15" customHeight="1" s="16">
      <c r="A42" s="18" t="n">
        <v>41</v>
      </c>
      <c r="B42" s="18">
        <f>INT((A42-1)/3)+1</f>
        <v/>
      </c>
      <c r="C42" s="19" t="n">
        <v>14</v>
      </c>
      <c r="D42" s="18" t="inlineStr">
        <is>
          <t>When You Look at It You Don't See It</t>
        </is>
      </c>
      <c r="E42" s="18" t="inlineStr">
        <is>
          <t>Discussion 1</t>
        </is>
      </c>
      <c r="F42" s="18">
        <f>TEXT(G42,"ddd")</f>
        <v/>
      </c>
      <c r="G42" s="20">
        <f>Settings!$B$4+(B42-1)*Settings!$B$11+INDEX(Settings!$B$7:$B$9,MATCH(E42,Settings!$A$7:$A$9,0))</f>
        <v/>
      </c>
      <c r="H42" s="21">
        <f>G42-G41</f>
        <v/>
      </c>
      <c r="I42" s="22" t="inlineStr">
        <is>
          <t>arredondo-04-09-24-tao-te-ching-chaps-14-15-what-you-don-t-see-skilled-warriors</t>
        </is>
      </c>
      <c r="J42" s="18" t="inlineStr">
        <is>
          <t>Planned</t>
        </is>
      </c>
      <c r="K42" s="18" t="n"/>
      <c r="L42" s="18" t="n"/>
      <c r="M42" s="20" t="n"/>
    </row>
    <row r="43" ht="15" customHeight="1" s="16">
      <c r="A43" s="18" t="n">
        <v>42</v>
      </c>
      <c r="B43" s="18">
        <f>INT((A43-1)/3)+1</f>
        <v/>
      </c>
      <c r="C43" s="19" t="n">
        <v>14</v>
      </c>
      <c r="D43" s="18" t="inlineStr">
        <is>
          <t>When You Look at It You Don't See It</t>
        </is>
      </c>
      <c r="E43" s="18" t="inlineStr">
        <is>
          <t>Discussion 2</t>
        </is>
      </c>
      <c r="F43" s="18">
        <f>TEXT(G43,"ddd")</f>
        <v/>
      </c>
      <c r="G43" s="20">
        <f>Settings!$B$4+(B43-1)*Settings!$B$11+INDEX(Settings!$B$7:$B$9,MATCH(E43,Settings!$A$7:$A$9,0))</f>
        <v/>
      </c>
      <c r="H43" s="21">
        <f>G43-G42</f>
        <v/>
      </c>
      <c r="I43" s="22" t="inlineStr">
        <is>
          <t>arredondo-04-09-24-tao-te-ching-chaps-14-15-what-you-don-t-see-skilled-warriors</t>
        </is>
      </c>
      <c r="J43" s="18" t="inlineStr">
        <is>
          <t>Planned</t>
        </is>
      </c>
      <c r="K43" s="18" t="n"/>
      <c r="L43" s="18" t="n"/>
      <c r="M43" s="20" t="n"/>
    </row>
    <row r="44" ht="15" customHeight="1" s="16">
      <c r="A44" s="18" t="n">
        <v>43</v>
      </c>
      <c r="B44" s="18">
        <f>INT((A44-1)/3)+1</f>
        <v/>
      </c>
      <c r="C44" s="19" t="n">
        <v>15</v>
      </c>
      <c r="D44" s="18" t="inlineStr">
        <is>
          <t>Skilled Warriors of Old</t>
        </is>
      </c>
      <c r="E44" s="18" t="inlineStr">
        <is>
          <t>Reading</t>
        </is>
      </c>
      <c r="F44" s="18">
        <f>TEXT(G44,"ddd")</f>
        <v/>
      </c>
      <c r="G44" s="20">
        <f>Settings!$B$4+(B44-1)*Settings!$B$11+INDEX(Settings!$B$7:$B$9,MATCH(E44,Settings!$A$7:$A$9,0))</f>
        <v/>
      </c>
      <c r="H44" s="21">
        <f>G44-G43</f>
        <v/>
      </c>
      <c r="I44" s="22" t="inlineStr">
        <is>
          <t>arredondo-04-09-24-tao-te-ching-chaps-14-15-what-you-don-t-see-skilled-warriors</t>
        </is>
      </c>
      <c r="J44" s="18" t="inlineStr">
        <is>
          <t>Planned</t>
        </is>
      </c>
      <c r="K44" s="18" t="n"/>
      <c r="L44" s="18" t="n"/>
      <c r="M44" s="20" t="n"/>
    </row>
    <row r="45" ht="15" customHeight="1" s="16">
      <c r="A45" s="18" t="n">
        <v>44</v>
      </c>
      <c r="B45" s="18">
        <f>INT((A45-1)/3)+1</f>
        <v/>
      </c>
      <c r="C45" s="19" t="n">
        <v>15</v>
      </c>
      <c r="D45" s="18" t="inlineStr">
        <is>
          <t>Skilled Warriors of Old</t>
        </is>
      </c>
      <c r="E45" s="18" t="inlineStr">
        <is>
          <t>Discussion 1</t>
        </is>
      </c>
      <c r="F45" s="18">
        <f>TEXT(G45,"ddd")</f>
        <v/>
      </c>
      <c r="G45" s="20">
        <f>Settings!$B$4+(B45-1)*Settings!$B$11+INDEX(Settings!$B$7:$B$9,MATCH(E45,Settings!$A$7:$A$9,0))</f>
        <v/>
      </c>
      <c r="H45" s="21">
        <f>G45-G44</f>
        <v/>
      </c>
      <c r="I45" s="22" t="inlineStr">
        <is>
          <t>arredondo-04-09-24-tao-te-ching-chaps-14-15-what-you-don-t-see-skilled-warriors</t>
        </is>
      </c>
      <c r="J45" s="18" t="inlineStr">
        <is>
          <t>Planned</t>
        </is>
      </c>
      <c r="K45" s="18" t="n"/>
      <c r="L45" s="18" t="n"/>
      <c r="M45" s="20" t="n"/>
    </row>
    <row r="46" ht="15" customHeight="1" s="16">
      <c r="A46" s="18" t="n">
        <v>45</v>
      </c>
      <c r="B46" s="18">
        <f>INT((A46-1)/3)+1</f>
        <v/>
      </c>
      <c r="C46" s="19" t="n">
        <v>15</v>
      </c>
      <c r="D46" s="18" t="inlineStr">
        <is>
          <t>Skilled Warriors of Old</t>
        </is>
      </c>
      <c r="E46" s="18" t="inlineStr">
        <is>
          <t>Discussion 2</t>
        </is>
      </c>
      <c r="F46" s="18">
        <f>TEXT(G46,"ddd")</f>
        <v/>
      </c>
      <c r="G46" s="20">
        <f>Settings!$B$4+(B46-1)*Settings!$B$11+INDEX(Settings!$B$7:$B$9,MATCH(E46,Settings!$A$7:$A$9,0))</f>
        <v/>
      </c>
      <c r="H46" s="21">
        <f>G46-G45</f>
        <v/>
      </c>
      <c r="I46" s="22" t="inlineStr">
        <is>
          <t>arredondo-04-09-24-tao-te-ching-chaps-14-15-what-you-don-t-see-skilled-warriors</t>
        </is>
      </c>
      <c r="J46" s="18" t="inlineStr">
        <is>
          <t>Planned</t>
        </is>
      </c>
      <c r="K46" s="18" t="n"/>
      <c r="L46" s="18" t="n"/>
      <c r="M46" s="20" t="n"/>
    </row>
    <row r="47" ht="15" customHeight="1" s="16">
      <c r="A47" s="18" t="n">
        <v>46</v>
      </c>
      <c r="B47" s="18">
        <f>INT((A47-1)/3)+1</f>
        <v/>
      </c>
      <c r="C47" s="19" t="n">
        <v>16</v>
      </c>
      <c r="D47" s="18" t="inlineStr">
        <is>
          <t>Attain the Climax of Emptiness</t>
        </is>
      </c>
      <c r="E47" s="18" t="inlineStr">
        <is>
          <t>Reading</t>
        </is>
      </c>
      <c r="F47" s="18">
        <f>TEXT(G47,"ddd")</f>
        <v/>
      </c>
      <c r="G47" s="20">
        <f>Settings!$B$4+(B47-1)*Settings!$B$11+INDEX(Settings!$B$7:$B$9,MATCH(E47,Settings!$A$7:$A$9,0))</f>
        <v/>
      </c>
      <c r="H47" s="21">
        <f>G47-G46</f>
        <v/>
      </c>
      <c r="I47" s="22" t="inlineStr">
        <is>
          <t>arredondo-04-10-24-tao-te-ching-chaps-16-18-april-10-2024</t>
        </is>
      </c>
      <c r="J47" s="18" t="inlineStr">
        <is>
          <t>Planned</t>
        </is>
      </c>
      <c r="K47" s="18" t="n"/>
      <c r="L47" s="18" t="n"/>
      <c r="M47" s="20" t="n"/>
    </row>
    <row r="48" ht="15" customHeight="1" s="16">
      <c r="A48" s="18" t="n">
        <v>47</v>
      </c>
      <c r="B48" s="18">
        <f>INT((A48-1)/3)+1</f>
        <v/>
      </c>
      <c r="C48" s="19" t="n">
        <v>16</v>
      </c>
      <c r="D48" s="18" t="inlineStr">
        <is>
          <t>Attain the Climax of Emptiness</t>
        </is>
      </c>
      <c r="E48" s="18" t="inlineStr">
        <is>
          <t>Discussion 1</t>
        </is>
      </c>
      <c r="F48" s="18">
        <f>TEXT(G48,"ddd")</f>
        <v/>
      </c>
      <c r="G48" s="20">
        <f>Settings!$B$4+(B48-1)*Settings!$B$11+INDEX(Settings!$B$7:$B$9,MATCH(E48,Settings!$A$7:$A$9,0))</f>
        <v/>
      </c>
      <c r="H48" s="21">
        <f>G48-G47</f>
        <v/>
      </c>
      <c r="I48" s="22" t="inlineStr">
        <is>
          <t>arredondo-04-10-24-tao-te-ching-chaps-16-18-april-10-2024</t>
        </is>
      </c>
      <c r="J48" s="18" t="inlineStr">
        <is>
          <t>Planned</t>
        </is>
      </c>
      <c r="K48" s="18" t="n"/>
      <c r="L48" s="18" t="n"/>
      <c r="M48" s="20" t="n"/>
    </row>
    <row r="49" ht="15" customHeight="1" s="16">
      <c r="A49" s="18" t="n">
        <v>48</v>
      </c>
      <c r="B49" s="18">
        <f>INT((A49-1)/3)+1</f>
        <v/>
      </c>
      <c r="C49" s="19" t="n">
        <v>16</v>
      </c>
      <c r="D49" s="18" t="inlineStr">
        <is>
          <t>Attain the Climax of Emptiness</t>
        </is>
      </c>
      <c r="E49" s="18" t="inlineStr">
        <is>
          <t>Discussion 2</t>
        </is>
      </c>
      <c r="F49" s="18">
        <f>TEXT(G49,"ddd")</f>
        <v/>
      </c>
      <c r="G49" s="20">
        <f>Settings!$B$4+(B49-1)*Settings!$B$11+INDEX(Settings!$B$7:$B$9,MATCH(E49,Settings!$A$7:$A$9,0))</f>
        <v/>
      </c>
      <c r="H49" s="21">
        <f>G49-G48</f>
        <v/>
      </c>
      <c r="I49" s="22" t="inlineStr">
        <is>
          <t>arredondo-04-10-24-tao-te-ching-chaps-16-18-april-10-2024</t>
        </is>
      </c>
      <c r="J49" s="18" t="inlineStr">
        <is>
          <t>Planned</t>
        </is>
      </c>
      <c r="K49" s="18" t="n"/>
      <c r="L49" s="18" t="n"/>
      <c r="M49" s="20" t="n"/>
    </row>
    <row r="50" ht="15" customHeight="1" s="16">
      <c r="A50" s="18" t="n">
        <v>49</v>
      </c>
      <c r="B50" s="18">
        <f>INT((A50-1)/3)+1</f>
        <v/>
      </c>
      <c r="C50" s="19" t="n">
        <v>17</v>
      </c>
      <c r="D50" s="18" t="inlineStr">
        <is>
          <t>Very Great Leaders</t>
        </is>
      </c>
      <c r="E50" s="18" t="inlineStr">
        <is>
          <t>Reading</t>
        </is>
      </c>
      <c r="F50" s="18">
        <f>TEXT(G50,"ddd")</f>
        <v/>
      </c>
      <c r="G50" s="20">
        <f>Settings!$B$4+(B50-1)*Settings!$B$11+INDEX(Settings!$B$7:$B$9,MATCH(E50,Settings!$A$7:$A$9,0))</f>
        <v/>
      </c>
      <c r="H50" s="21">
        <f>G50-G49</f>
        <v/>
      </c>
      <c r="I50" s="22" t="inlineStr">
        <is>
          <t>arredondo-04-10-24-tao-te-ching-chaps-16-18-april-10-2024</t>
        </is>
      </c>
      <c r="J50" s="18" t="inlineStr">
        <is>
          <t>Planned</t>
        </is>
      </c>
      <c r="K50" s="18" t="n"/>
      <c r="L50" s="18" t="n"/>
      <c r="M50" s="20" t="n"/>
    </row>
    <row r="51" ht="15" customHeight="1" s="16">
      <c r="A51" s="18" t="n">
        <v>50</v>
      </c>
      <c r="B51" s="18">
        <f>INT((A51-1)/3)+1</f>
        <v/>
      </c>
      <c r="C51" s="19" t="n">
        <v>17</v>
      </c>
      <c r="D51" s="18" t="inlineStr">
        <is>
          <t>Very Great Leaders</t>
        </is>
      </c>
      <c r="E51" s="18" t="inlineStr">
        <is>
          <t>Discussion 1</t>
        </is>
      </c>
      <c r="F51" s="18">
        <f>TEXT(G51,"ddd")</f>
        <v/>
      </c>
      <c r="G51" s="20">
        <f>Settings!$B$4+(B51-1)*Settings!$B$11+INDEX(Settings!$B$7:$B$9,MATCH(E51,Settings!$A$7:$A$9,0))</f>
        <v/>
      </c>
      <c r="H51" s="21">
        <f>G51-G50</f>
        <v/>
      </c>
      <c r="I51" s="22" t="inlineStr">
        <is>
          <t>arredondo-04-10-24-tao-te-ching-chaps-16-18-april-10-2024</t>
        </is>
      </c>
      <c r="J51" s="18" t="inlineStr">
        <is>
          <t>Planned</t>
        </is>
      </c>
      <c r="K51" s="18" t="n"/>
      <c r="L51" s="18" t="n"/>
      <c r="M51" s="20" t="n"/>
    </row>
    <row r="52" ht="15" customHeight="1" s="16">
      <c r="A52" s="18" t="n">
        <v>51</v>
      </c>
      <c r="B52" s="18">
        <f>INT((A52-1)/3)+1</f>
        <v/>
      </c>
      <c r="C52" s="19" t="n">
        <v>17</v>
      </c>
      <c r="D52" s="18" t="inlineStr">
        <is>
          <t>Very Great Leaders</t>
        </is>
      </c>
      <c r="E52" s="18" t="inlineStr">
        <is>
          <t>Discussion 2</t>
        </is>
      </c>
      <c r="F52" s="18">
        <f>TEXT(G52,"ddd")</f>
        <v/>
      </c>
      <c r="G52" s="20">
        <f>Settings!$B$4+(B52-1)*Settings!$B$11+INDEX(Settings!$B$7:$B$9,MATCH(E52,Settings!$A$7:$A$9,0))</f>
        <v/>
      </c>
      <c r="H52" s="21">
        <f>G52-G51</f>
        <v/>
      </c>
      <c r="I52" s="22" t="inlineStr">
        <is>
          <t>arredondo-04-10-24-tao-te-ching-chaps-16-18-april-10-2024</t>
        </is>
      </c>
      <c r="J52" s="18" t="inlineStr">
        <is>
          <t>Planned</t>
        </is>
      </c>
      <c r="K52" s="18" t="n"/>
      <c r="L52" s="18" t="n"/>
      <c r="M52" s="20" t="n"/>
    </row>
    <row r="53" ht="15" customHeight="1" s="16">
      <c r="A53" s="18" t="n">
        <v>52</v>
      </c>
      <c r="B53" s="18">
        <f>INT((A53-1)/3)+1</f>
        <v/>
      </c>
      <c r="C53" s="19" t="n">
        <v>18</v>
      </c>
      <c r="D53" s="18" t="inlineStr">
        <is>
          <t>When the Great Way Is Deserted</t>
        </is>
      </c>
      <c r="E53" s="18" t="inlineStr">
        <is>
          <t>Reading</t>
        </is>
      </c>
      <c r="F53" s="18">
        <f>TEXT(G53,"ddd")</f>
        <v/>
      </c>
      <c r="G53" s="20">
        <f>Settings!$B$4+(B53-1)*Settings!$B$11+INDEX(Settings!$B$7:$B$9,MATCH(E53,Settings!$A$7:$A$9,0))</f>
        <v/>
      </c>
      <c r="H53" s="21">
        <f>G53-G52</f>
        <v/>
      </c>
      <c r="I53" s="22" t="inlineStr">
        <is>
          <t>arredondo-04-10-24-tao-te-ching-chaps-16-18-april-10-2024</t>
        </is>
      </c>
      <c r="J53" s="18" t="inlineStr">
        <is>
          <t>Planned</t>
        </is>
      </c>
      <c r="K53" s="18" t="n"/>
      <c r="L53" s="18" t="n"/>
      <c r="M53" s="20" t="n"/>
    </row>
    <row r="54" ht="15" customHeight="1" s="16">
      <c r="A54" s="18" t="n">
        <v>53</v>
      </c>
      <c r="B54" s="18">
        <f>INT((A54-1)/3)+1</f>
        <v/>
      </c>
      <c r="C54" s="19" t="n">
        <v>18</v>
      </c>
      <c r="D54" s="18" t="inlineStr">
        <is>
          <t>When the Great Way Is Deserted</t>
        </is>
      </c>
      <c r="E54" s="18" t="inlineStr">
        <is>
          <t>Discussion 1</t>
        </is>
      </c>
      <c r="F54" s="18">
        <f>TEXT(G54,"ddd")</f>
        <v/>
      </c>
      <c r="G54" s="20">
        <f>Settings!$B$4+(B54-1)*Settings!$B$11+INDEX(Settings!$B$7:$B$9,MATCH(E54,Settings!$A$7:$A$9,0))</f>
        <v/>
      </c>
      <c r="H54" s="21">
        <f>G54-G53</f>
        <v/>
      </c>
      <c r="I54" s="22" t="inlineStr">
        <is>
          <t>arredondo-04-10-24-tao-te-ching-chaps-16-18-april-10-2024</t>
        </is>
      </c>
      <c r="J54" s="18" t="inlineStr">
        <is>
          <t>Planned</t>
        </is>
      </c>
      <c r="K54" s="18" t="n"/>
      <c r="L54" s="18" t="n"/>
      <c r="M54" s="20" t="n"/>
    </row>
    <row r="55" ht="15" customHeight="1" s="16">
      <c r="A55" s="18" t="n">
        <v>54</v>
      </c>
      <c r="B55" s="18">
        <f>INT((A55-1)/3)+1</f>
        <v/>
      </c>
      <c r="C55" s="19" t="n">
        <v>18</v>
      </c>
      <c r="D55" s="18" t="inlineStr">
        <is>
          <t>When the Great Way Is Deserted</t>
        </is>
      </c>
      <c r="E55" s="18" t="inlineStr">
        <is>
          <t>Discussion 2</t>
        </is>
      </c>
      <c r="F55" s="18">
        <f>TEXT(G55,"ddd")</f>
        <v/>
      </c>
      <c r="G55" s="20">
        <f>Settings!$B$4+(B55-1)*Settings!$B$11+INDEX(Settings!$B$7:$B$9,MATCH(E55,Settings!$A$7:$A$9,0))</f>
        <v/>
      </c>
      <c r="H55" s="21">
        <f>G55-G54</f>
        <v/>
      </c>
      <c r="I55" s="22" t="inlineStr">
        <is>
          <t>arredondo-04-10-24-tao-te-ching-chaps-16-18-april-10-2024</t>
        </is>
      </c>
      <c r="J55" s="18" t="inlineStr">
        <is>
          <t>Planned</t>
        </is>
      </c>
      <c r="K55" s="18" t="n"/>
      <c r="L55" s="18" t="n"/>
      <c r="M55" s="20" t="n"/>
    </row>
    <row r="56" ht="15" customHeight="1" s="16">
      <c r="A56" s="18" t="n">
        <v>55</v>
      </c>
      <c r="B56" s="18">
        <f>INT((A56-1)/3)+1</f>
        <v/>
      </c>
      <c r="C56" s="19" t="n">
        <v>19</v>
      </c>
      <c r="D56" s="18" t="inlineStr">
        <is>
          <t>Eliminate Sagacity, Abandon Knowledge</t>
        </is>
      </c>
      <c r="E56" s="18" t="inlineStr">
        <is>
          <t>Reading</t>
        </is>
      </c>
      <c r="F56" s="18">
        <f>TEXT(G56,"ddd")</f>
        <v/>
      </c>
      <c r="G56" s="20">
        <f>Settings!$B$4+(B56-1)*Settings!$B$11+INDEX(Settings!$B$7:$B$9,MATCH(E56,Settings!$A$7:$A$9,0))</f>
        <v/>
      </c>
      <c r="H56" s="21">
        <f>G56-G55</f>
        <v/>
      </c>
      <c r="I56" s="22" t="inlineStr">
        <is>
          <t>arredondo-04-11-24-tao-te-ching-chaps-19-21-april-11-2024</t>
        </is>
      </c>
      <c r="J56" s="18" t="inlineStr">
        <is>
          <t>Planned</t>
        </is>
      </c>
      <c r="K56" s="18" t="n"/>
      <c r="L56" s="18" t="n"/>
      <c r="M56" s="20" t="n"/>
    </row>
    <row r="57" ht="15" customHeight="1" s="16">
      <c r="A57" s="18" t="n">
        <v>56</v>
      </c>
      <c r="B57" s="18">
        <f>INT((A57-1)/3)+1</f>
        <v/>
      </c>
      <c r="C57" s="19" t="n">
        <v>19</v>
      </c>
      <c r="D57" s="18" t="inlineStr">
        <is>
          <t>Eliminate Sagacity, Abandon Knowledge</t>
        </is>
      </c>
      <c r="E57" s="18" t="inlineStr">
        <is>
          <t>Discussion 1</t>
        </is>
      </c>
      <c r="F57" s="18">
        <f>TEXT(G57,"ddd")</f>
        <v/>
      </c>
      <c r="G57" s="20">
        <f>Settings!$B$4+(B57-1)*Settings!$B$11+INDEX(Settings!$B$7:$B$9,MATCH(E57,Settings!$A$7:$A$9,0))</f>
        <v/>
      </c>
      <c r="H57" s="21">
        <f>G57-G56</f>
        <v/>
      </c>
      <c r="I57" s="22" t="inlineStr">
        <is>
          <t>arredondo-04-11-24-tao-te-ching-chaps-19-21-april-11-2024</t>
        </is>
      </c>
      <c r="J57" s="18" t="inlineStr">
        <is>
          <t>Planned</t>
        </is>
      </c>
      <c r="K57" s="18" t="n"/>
      <c r="L57" s="18" t="n"/>
      <c r="M57" s="20" t="n"/>
    </row>
    <row r="58" ht="15" customHeight="1" s="16">
      <c r="A58" s="18" t="n">
        <v>57</v>
      </c>
      <c r="B58" s="18">
        <f>INT((A58-1)/3)+1</f>
        <v/>
      </c>
      <c r="C58" s="19" t="n">
        <v>19</v>
      </c>
      <c r="D58" s="18" t="inlineStr">
        <is>
          <t>Eliminate Sagacity, Abandon Knowledge</t>
        </is>
      </c>
      <c r="E58" s="18" t="inlineStr">
        <is>
          <t>Discussion 2</t>
        </is>
      </c>
      <c r="F58" s="18">
        <f>TEXT(G58,"ddd")</f>
        <v/>
      </c>
      <c r="G58" s="20">
        <f>Settings!$B$4+(B58-1)*Settings!$B$11+INDEX(Settings!$B$7:$B$9,MATCH(E58,Settings!$A$7:$A$9,0))</f>
        <v/>
      </c>
      <c r="H58" s="21">
        <f>G58-G57</f>
        <v/>
      </c>
      <c r="I58" s="22" t="inlineStr">
        <is>
          <t>arredondo-04-11-24-tao-te-ching-chaps-19-21-april-11-2024</t>
        </is>
      </c>
      <c r="J58" s="18" t="inlineStr">
        <is>
          <t>Planned</t>
        </is>
      </c>
      <c r="K58" s="18" t="n"/>
      <c r="L58" s="18" t="n"/>
      <c r="M58" s="20" t="n"/>
    </row>
    <row r="59" ht="15" customHeight="1" s="16">
      <c r="A59" s="18" t="n">
        <v>58</v>
      </c>
      <c r="B59" s="18">
        <f>INT((A59-1)/3)+1</f>
        <v/>
      </c>
      <c r="C59" s="19" t="n">
        <v>20</v>
      </c>
      <c r="D59" s="18" t="inlineStr">
        <is>
          <t>Detach from Learning and You Have No Worries</t>
        </is>
      </c>
      <c r="E59" s="18" t="inlineStr">
        <is>
          <t>Reading</t>
        </is>
      </c>
      <c r="F59" s="18">
        <f>TEXT(G59,"ddd")</f>
        <v/>
      </c>
      <c r="G59" s="20">
        <f>Settings!$B$4+(B59-1)*Settings!$B$11+INDEX(Settings!$B$7:$B$9,MATCH(E59,Settings!$A$7:$A$9,0))</f>
        <v/>
      </c>
      <c r="H59" s="21">
        <f>G59-G58</f>
        <v/>
      </c>
      <c r="I59" s="22" t="inlineStr">
        <is>
          <t>arredondo-04-11-24-tao-te-ching-chaps-19-21-april-11-2024</t>
        </is>
      </c>
      <c r="J59" s="18" t="inlineStr">
        <is>
          <t>Planned</t>
        </is>
      </c>
      <c r="K59" s="18" t="n"/>
      <c r="L59" s="18" t="n"/>
      <c r="M59" s="20" t="n"/>
    </row>
    <row r="60" ht="15" customHeight="1" s="16">
      <c r="A60" s="18" t="n">
        <v>59</v>
      </c>
      <c r="B60" s="18">
        <f>INT((A60-1)/3)+1</f>
        <v/>
      </c>
      <c r="C60" s="19" t="n">
        <v>20</v>
      </c>
      <c r="D60" s="18" t="inlineStr">
        <is>
          <t>Detach from Learning and You Have No Worries</t>
        </is>
      </c>
      <c r="E60" s="18" t="inlineStr">
        <is>
          <t>Discussion 1</t>
        </is>
      </c>
      <c r="F60" s="18">
        <f>TEXT(G60,"ddd")</f>
        <v/>
      </c>
      <c r="G60" s="20">
        <f>Settings!$B$4+(B60-1)*Settings!$B$11+INDEX(Settings!$B$7:$B$9,MATCH(E60,Settings!$A$7:$A$9,0))</f>
        <v/>
      </c>
      <c r="H60" s="21">
        <f>G60-G59</f>
        <v/>
      </c>
      <c r="I60" s="22" t="inlineStr">
        <is>
          <t>arredondo-04-11-24-tao-te-ching-chaps-19-21-april-11-2024</t>
        </is>
      </c>
      <c r="J60" s="18" t="inlineStr">
        <is>
          <t>Planned</t>
        </is>
      </c>
      <c r="K60" s="18" t="n"/>
      <c r="L60" s="18" t="n"/>
      <c r="M60" s="20" t="n"/>
    </row>
    <row r="61" ht="15" customHeight="1" s="16">
      <c r="A61" s="18" t="n">
        <v>60</v>
      </c>
      <c r="B61" s="18">
        <f>INT((A61-1)/3)+1</f>
        <v/>
      </c>
      <c r="C61" s="19" t="n">
        <v>20</v>
      </c>
      <c r="D61" s="18" t="inlineStr">
        <is>
          <t>Detach from Learning and You Have No Worries</t>
        </is>
      </c>
      <c r="E61" s="18" t="inlineStr">
        <is>
          <t>Discussion 2</t>
        </is>
      </c>
      <c r="F61" s="18">
        <f>TEXT(G61,"ddd")</f>
        <v/>
      </c>
      <c r="G61" s="20">
        <f>Settings!$B$4+(B61-1)*Settings!$B$11+INDEX(Settings!$B$7:$B$9,MATCH(E61,Settings!$A$7:$A$9,0))</f>
        <v/>
      </c>
      <c r="H61" s="21">
        <f>G61-G60</f>
        <v/>
      </c>
      <c r="I61" s="22" t="inlineStr">
        <is>
          <t>arredondo-04-11-24-tao-te-ching-chaps-19-21-april-11-2024</t>
        </is>
      </c>
      <c r="J61" s="18" t="inlineStr">
        <is>
          <t>Planned</t>
        </is>
      </c>
      <c r="K61" s="18" t="n"/>
      <c r="L61" s="18" t="n"/>
      <c r="M61" s="20" t="n"/>
    </row>
    <row r="62" ht="15" customHeight="1" s="16">
      <c r="A62" s="18" t="n">
        <v>61</v>
      </c>
      <c r="B62" s="18">
        <f>INT((A62-1)/3)+1</f>
        <v/>
      </c>
      <c r="C62" s="19" t="n">
        <v>21</v>
      </c>
      <c r="D62" s="18" t="inlineStr">
        <is>
          <t>The Countenance of Great Virtue</t>
        </is>
      </c>
      <c r="E62" s="18" t="inlineStr">
        <is>
          <t>Reading</t>
        </is>
      </c>
      <c r="F62" s="18">
        <f>TEXT(G62,"ddd")</f>
        <v/>
      </c>
      <c r="G62" s="20">
        <f>Settings!$B$4+(B62-1)*Settings!$B$11+INDEX(Settings!$B$7:$B$9,MATCH(E62,Settings!$A$7:$A$9,0))</f>
        <v/>
      </c>
      <c r="H62" s="21">
        <f>G62-G61</f>
        <v/>
      </c>
      <c r="I62" s="22" t="inlineStr">
        <is>
          <t>arredondo-04-11-24-tao-te-ching-chaps-19-21-april-11-2024</t>
        </is>
      </c>
      <c r="J62" s="18" t="inlineStr">
        <is>
          <t>Planned</t>
        </is>
      </c>
      <c r="K62" s="18" t="n"/>
      <c r="L62" s="18" t="n"/>
      <c r="M62" s="20" t="n"/>
    </row>
    <row r="63" ht="15" customHeight="1" s="16">
      <c r="A63" s="18" t="n">
        <v>62</v>
      </c>
      <c r="B63" s="18">
        <f>INT((A63-1)/3)+1</f>
        <v/>
      </c>
      <c r="C63" s="19" t="n">
        <v>21</v>
      </c>
      <c r="D63" s="18" t="inlineStr">
        <is>
          <t>The Countenance of Great Virtue</t>
        </is>
      </c>
      <c r="E63" s="18" t="inlineStr">
        <is>
          <t>Discussion 1</t>
        </is>
      </c>
      <c r="F63" s="18">
        <f>TEXT(G63,"ddd")</f>
        <v/>
      </c>
      <c r="G63" s="20">
        <f>Settings!$B$4+(B63-1)*Settings!$B$11+INDEX(Settings!$B$7:$B$9,MATCH(E63,Settings!$A$7:$A$9,0))</f>
        <v/>
      </c>
      <c r="H63" s="21">
        <f>G63-G62</f>
        <v/>
      </c>
      <c r="I63" s="22" t="inlineStr">
        <is>
          <t>arredondo-04-11-24-tao-te-ching-chaps-19-21-april-11-2024</t>
        </is>
      </c>
      <c r="J63" s="18" t="inlineStr">
        <is>
          <t>Planned</t>
        </is>
      </c>
      <c r="K63" s="18" t="n"/>
      <c r="L63" s="18" t="n"/>
      <c r="M63" s="20" t="n"/>
    </row>
    <row r="64" ht="15" customHeight="1" s="16">
      <c r="A64" s="18" t="n">
        <v>63</v>
      </c>
      <c r="B64" s="18">
        <f>INT((A64-1)/3)+1</f>
        <v/>
      </c>
      <c r="C64" s="19" t="n">
        <v>21</v>
      </c>
      <c r="D64" s="18" t="inlineStr">
        <is>
          <t>The Countenance of Great Virtue</t>
        </is>
      </c>
      <c r="E64" s="18" t="inlineStr">
        <is>
          <t>Discussion 2</t>
        </is>
      </c>
      <c r="F64" s="18">
        <f>TEXT(G64,"ddd")</f>
        <v/>
      </c>
      <c r="G64" s="20">
        <f>Settings!$B$4+(B64-1)*Settings!$B$11+INDEX(Settings!$B$7:$B$9,MATCH(E64,Settings!$A$7:$A$9,0))</f>
        <v/>
      </c>
      <c r="H64" s="21">
        <f>G64-G63</f>
        <v/>
      </c>
      <c r="I64" s="22" t="inlineStr">
        <is>
          <t>arredondo-04-11-24-tao-te-ching-chaps-19-21-april-11-2024</t>
        </is>
      </c>
      <c r="J64" s="18" t="inlineStr">
        <is>
          <t>Planned</t>
        </is>
      </c>
      <c r="K64" s="18" t="n"/>
      <c r="L64" s="18" t="n"/>
      <c r="M64" s="20" t="n"/>
    </row>
    <row r="65" ht="15" customHeight="1" s="16">
      <c r="A65" s="18" t="n">
        <v>64</v>
      </c>
      <c r="B65" s="18">
        <f>INT((A65-1)/3)+1</f>
        <v/>
      </c>
      <c r="C65" s="19" t="n">
        <v>22</v>
      </c>
      <c r="D65" s="18" t="inlineStr">
        <is>
          <t>Be Tactful and You Remain Whole</t>
        </is>
      </c>
      <c r="E65" s="18" t="inlineStr">
        <is>
          <t>Reading</t>
        </is>
      </c>
      <c r="F65" s="18">
        <f>TEXT(G65,"ddd")</f>
        <v/>
      </c>
      <c r="G65" s="20">
        <f>Settings!$B$4+(B65-1)*Settings!$B$11+INDEX(Settings!$B$7:$B$9,MATCH(E65,Settings!$A$7:$A$9,0))</f>
        <v/>
      </c>
      <c r="H65" s="21">
        <f>G65-G64</f>
        <v/>
      </c>
      <c r="I65" s="22" t="inlineStr">
        <is>
          <t>arredondo-04-12-24-tao-te-ching-chaps-22-24-be-tactful-speak-rarely-those-on-ti</t>
        </is>
      </c>
      <c r="J65" s="18" t="inlineStr">
        <is>
          <t>Planned</t>
        </is>
      </c>
      <c r="K65" s="18" t="n"/>
      <c r="L65" s="18" t="n"/>
      <c r="M65" s="20" t="n"/>
    </row>
    <row r="66" ht="15" customHeight="1" s="16">
      <c r="A66" s="18" t="n">
        <v>65</v>
      </c>
      <c r="B66" s="18">
        <f>INT((A66-1)/3)+1</f>
        <v/>
      </c>
      <c r="C66" s="19" t="n">
        <v>22</v>
      </c>
      <c r="D66" s="18" t="inlineStr">
        <is>
          <t>Be Tactful and You Remain Whole</t>
        </is>
      </c>
      <c r="E66" s="18" t="inlineStr">
        <is>
          <t>Discussion 1</t>
        </is>
      </c>
      <c r="F66" s="18">
        <f>TEXT(G66,"ddd")</f>
        <v/>
      </c>
      <c r="G66" s="20">
        <f>Settings!$B$4+(B66-1)*Settings!$B$11+INDEX(Settings!$B$7:$B$9,MATCH(E66,Settings!$A$7:$A$9,0))</f>
        <v/>
      </c>
      <c r="H66" s="21">
        <f>G66-G65</f>
        <v/>
      </c>
      <c r="I66" s="22" t="inlineStr">
        <is>
          <t>arredondo-04-12-24-tao-te-ching-chaps-22-24-be-tactful-speak-rarely-those-on-ti</t>
        </is>
      </c>
      <c r="J66" s="18" t="inlineStr">
        <is>
          <t>Planned</t>
        </is>
      </c>
      <c r="K66" s="18" t="n"/>
      <c r="L66" s="18" t="n"/>
      <c r="M66" s="20" t="n"/>
    </row>
    <row r="67" ht="15" customHeight="1" s="16">
      <c r="A67" s="18" t="n">
        <v>66</v>
      </c>
      <c r="B67" s="18">
        <f>INT((A67-1)/3)+1</f>
        <v/>
      </c>
      <c r="C67" s="19" t="n">
        <v>22</v>
      </c>
      <c r="D67" s="18" t="inlineStr">
        <is>
          <t>Be Tactful and You Remain Whole</t>
        </is>
      </c>
      <c r="E67" s="18" t="inlineStr">
        <is>
          <t>Discussion 2</t>
        </is>
      </c>
      <c r="F67" s="18">
        <f>TEXT(G67,"ddd")</f>
        <v/>
      </c>
      <c r="G67" s="20">
        <f>Settings!$B$4+(B67-1)*Settings!$B$11+INDEX(Settings!$B$7:$B$9,MATCH(E67,Settings!$A$7:$A$9,0))</f>
        <v/>
      </c>
      <c r="H67" s="21">
        <f>G67-G66</f>
        <v/>
      </c>
      <c r="I67" s="22" t="inlineStr">
        <is>
          <t>arredondo-04-12-24-tao-te-ching-chaps-22-24-be-tactful-speak-rarely-those-on-ti</t>
        </is>
      </c>
      <c r="J67" s="18" t="inlineStr">
        <is>
          <t>Planned</t>
        </is>
      </c>
      <c r="K67" s="18" t="n"/>
      <c r="L67" s="18" t="n"/>
      <c r="M67" s="20" t="n"/>
    </row>
    <row r="68" ht="15" customHeight="1" s="16">
      <c r="A68" s="18" t="n">
        <v>67</v>
      </c>
      <c r="B68" s="18">
        <f>INT((A68-1)/3)+1</f>
        <v/>
      </c>
      <c r="C68" s="19" t="n">
        <v>23</v>
      </c>
      <c r="D68" s="18" t="inlineStr">
        <is>
          <t>To Speak Rarely Is Natural</t>
        </is>
      </c>
      <c r="E68" s="18" t="inlineStr">
        <is>
          <t>Reading</t>
        </is>
      </c>
      <c r="F68" s="18">
        <f>TEXT(G68,"ddd")</f>
        <v/>
      </c>
      <c r="G68" s="20">
        <f>Settings!$B$4+(B68-1)*Settings!$B$11+INDEX(Settings!$B$7:$B$9,MATCH(E68,Settings!$A$7:$A$9,0))</f>
        <v/>
      </c>
      <c r="H68" s="21">
        <f>G68-G67</f>
        <v/>
      </c>
      <c r="I68" s="22" t="inlineStr">
        <is>
          <t>arredondo-04-12-24-tao-te-ching-chaps-22-24-be-tactful-speak-rarely-those-on-ti</t>
        </is>
      </c>
      <c r="J68" s="18" t="inlineStr">
        <is>
          <t>Planned</t>
        </is>
      </c>
      <c r="K68" s="18" t="n"/>
      <c r="L68" s="18" t="n"/>
      <c r="M68" s="20" t="n"/>
    </row>
    <row r="69" ht="15" customHeight="1" s="16">
      <c r="A69" s="18" t="n">
        <v>68</v>
      </c>
      <c r="B69" s="18">
        <f>INT((A69-1)/3)+1</f>
        <v/>
      </c>
      <c r="C69" s="19" t="n">
        <v>23</v>
      </c>
      <c r="D69" s="18" t="inlineStr">
        <is>
          <t>To Speak Rarely Is Natural</t>
        </is>
      </c>
      <c r="E69" s="18" t="inlineStr">
        <is>
          <t>Discussion 1</t>
        </is>
      </c>
      <c r="F69" s="18">
        <f>TEXT(G69,"ddd")</f>
        <v/>
      </c>
      <c r="G69" s="20">
        <f>Settings!$B$4+(B69-1)*Settings!$B$11+INDEX(Settings!$B$7:$B$9,MATCH(E69,Settings!$A$7:$A$9,0))</f>
        <v/>
      </c>
      <c r="H69" s="21">
        <f>G69-G68</f>
        <v/>
      </c>
      <c r="I69" s="22" t="inlineStr">
        <is>
          <t>arredondo-04-12-24-tao-te-ching-chaps-22-24-be-tactful-speak-rarely-those-on-ti</t>
        </is>
      </c>
      <c r="J69" s="18" t="inlineStr">
        <is>
          <t>Planned</t>
        </is>
      </c>
      <c r="K69" s="18" t="n"/>
      <c r="L69" s="18" t="n"/>
      <c r="M69" s="20" t="n"/>
    </row>
    <row r="70" ht="15" customHeight="1" s="16">
      <c r="A70" s="18" t="n">
        <v>69</v>
      </c>
      <c r="B70" s="18">
        <f>INT((A70-1)/3)+1</f>
        <v/>
      </c>
      <c r="C70" s="19" t="n">
        <v>23</v>
      </c>
      <c r="D70" s="18" t="inlineStr">
        <is>
          <t>To Speak Rarely Is Natural</t>
        </is>
      </c>
      <c r="E70" s="18" t="inlineStr">
        <is>
          <t>Discussion 2</t>
        </is>
      </c>
      <c r="F70" s="18">
        <f>TEXT(G70,"ddd")</f>
        <v/>
      </c>
      <c r="G70" s="20">
        <f>Settings!$B$4+(B70-1)*Settings!$B$11+INDEX(Settings!$B$7:$B$9,MATCH(E70,Settings!$A$7:$A$9,0))</f>
        <v/>
      </c>
      <c r="H70" s="21">
        <f>G70-G69</f>
        <v/>
      </c>
      <c r="I70" s="22" t="inlineStr">
        <is>
          <t>arredondo-04-12-24-tao-te-ching-chaps-22-24-be-tactful-speak-rarely-those-on-ti</t>
        </is>
      </c>
      <c r="J70" s="18" t="inlineStr">
        <is>
          <t>Planned</t>
        </is>
      </c>
      <c r="K70" s="18" t="n"/>
      <c r="L70" s="18" t="n"/>
      <c r="M70" s="20" t="n"/>
    </row>
    <row r="71" ht="15" customHeight="1" s="16">
      <c r="A71" s="18" t="n">
        <v>70</v>
      </c>
      <c r="B71" s="18">
        <f>INT((A71-1)/3)+1</f>
        <v/>
      </c>
      <c r="C71" s="19" t="n">
        <v>24</v>
      </c>
      <c r="D71" s="18" t="inlineStr">
        <is>
          <t>Those on Tiptoe Don't Stand Up</t>
        </is>
      </c>
      <c r="E71" s="18" t="inlineStr">
        <is>
          <t>Reading</t>
        </is>
      </c>
      <c r="F71" s="18">
        <f>TEXT(G71,"ddd")</f>
        <v/>
      </c>
      <c r="G71" s="20">
        <f>Settings!$B$4+(B71-1)*Settings!$B$11+INDEX(Settings!$B$7:$B$9,MATCH(E71,Settings!$A$7:$A$9,0))</f>
        <v/>
      </c>
      <c r="H71" s="21">
        <f>G71-G70</f>
        <v/>
      </c>
      <c r="I71" s="22" t="inlineStr">
        <is>
          <t>arredondo-04-12-24-tao-te-ching-chaps-22-24-be-tactful-speak-rarely-those-on-ti</t>
        </is>
      </c>
      <c r="J71" s="18" t="inlineStr">
        <is>
          <t>Planned</t>
        </is>
      </c>
      <c r="K71" s="18" t="n"/>
      <c r="L71" s="18" t="n"/>
      <c r="M71" s="20" t="n"/>
    </row>
    <row r="72" ht="15" customHeight="1" s="16">
      <c r="A72" s="18" t="n">
        <v>71</v>
      </c>
      <c r="B72" s="18">
        <f>INT((A72-1)/3)+1</f>
        <v/>
      </c>
      <c r="C72" s="19" t="n">
        <v>24</v>
      </c>
      <c r="D72" s="18" t="inlineStr">
        <is>
          <t>Those on Tiptoe Don't Stand Up</t>
        </is>
      </c>
      <c r="E72" s="18" t="inlineStr">
        <is>
          <t>Discussion 1</t>
        </is>
      </c>
      <c r="F72" s="18">
        <f>TEXT(G72,"ddd")</f>
        <v/>
      </c>
      <c r="G72" s="20">
        <f>Settings!$B$4+(B72-1)*Settings!$B$11+INDEX(Settings!$B$7:$B$9,MATCH(E72,Settings!$A$7:$A$9,0))</f>
        <v/>
      </c>
      <c r="H72" s="21">
        <f>G72-G71</f>
        <v/>
      </c>
      <c r="I72" s="22" t="inlineStr">
        <is>
          <t>arredondo-04-12-24-tao-te-ching-chaps-22-24-be-tactful-speak-rarely-those-on-ti</t>
        </is>
      </c>
      <c r="J72" s="18" t="inlineStr">
        <is>
          <t>Planned</t>
        </is>
      </c>
      <c r="K72" s="18" t="n"/>
      <c r="L72" s="18" t="n"/>
      <c r="M72" s="20" t="n"/>
    </row>
    <row r="73" ht="15" customHeight="1" s="16">
      <c r="A73" s="18" t="n">
        <v>72</v>
      </c>
      <c r="B73" s="18">
        <f>INT((A73-1)/3)+1</f>
        <v/>
      </c>
      <c r="C73" s="19" t="n">
        <v>24</v>
      </c>
      <c r="D73" s="18" t="inlineStr">
        <is>
          <t>Those on Tiptoe Don't Stand Up</t>
        </is>
      </c>
      <c r="E73" s="18" t="inlineStr">
        <is>
          <t>Discussion 2</t>
        </is>
      </c>
      <c r="F73" s="18">
        <f>TEXT(G73,"ddd")</f>
        <v/>
      </c>
      <c r="G73" s="20">
        <f>Settings!$B$4+(B73-1)*Settings!$B$11+INDEX(Settings!$B$7:$B$9,MATCH(E73,Settings!$A$7:$A$9,0))</f>
        <v/>
      </c>
      <c r="H73" s="21">
        <f>G73-G72</f>
        <v/>
      </c>
      <c r="I73" s="22" t="inlineStr">
        <is>
          <t>arredondo-04-12-24-tao-te-ching-chaps-22-24-be-tactful-speak-rarely-those-on-ti</t>
        </is>
      </c>
      <c r="J73" s="18" t="inlineStr">
        <is>
          <t>Planned</t>
        </is>
      </c>
      <c r="K73" s="18" t="n"/>
      <c r="L73" s="18" t="n"/>
      <c r="M73" s="20" t="n"/>
    </row>
    <row r="74" ht="15" customHeight="1" s="16">
      <c r="A74" s="18" t="n">
        <v>73</v>
      </c>
      <c r="B74" s="18">
        <f>INT((A74-1)/3)+1</f>
        <v/>
      </c>
      <c r="C74" s="19" t="n">
        <v>25</v>
      </c>
      <c r="D74" s="18" t="inlineStr">
        <is>
          <t>Something Undifferentiated</t>
        </is>
      </c>
      <c r="E74" s="18" t="inlineStr">
        <is>
          <t>Reading</t>
        </is>
      </c>
      <c r="F74" s="18">
        <f>TEXT(G74,"ddd")</f>
        <v/>
      </c>
      <c r="G74" s="20">
        <f>Settings!$B$4+(B74-1)*Settings!$B$11+INDEX(Settings!$B$7:$B$9,MATCH(E74,Settings!$A$7:$A$9,0))</f>
        <v/>
      </c>
      <c r="H74" s="21">
        <f>G74-G73</f>
        <v/>
      </c>
      <c r="I74" s="22" t="inlineStr">
        <is>
          <t>arredondo-04-18-24-tao-te-ching-chaps-25-27-undifferentiated-root-of-lightness</t>
        </is>
      </c>
      <c r="J74" s="18" t="inlineStr">
        <is>
          <t>Planned</t>
        </is>
      </c>
      <c r="K74" s="18" t="n"/>
      <c r="L74" s="18" t="n"/>
      <c r="M74" s="20" t="n"/>
    </row>
    <row r="75" ht="15" customHeight="1" s="16">
      <c r="A75" s="18" t="n">
        <v>74</v>
      </c>
      <c r="B75" s="18">
        <f>INT((A75-1)/3)+1</f>
        <v/>
      </c>
      <c r="C75" s="19" t="n">
        <v>25</v>
      </c>
      <c r="D75" s="18" t="inlineStr">
        <is>
          <t>Something Undifferentiated</t>
        </is>
      </c>
      <c r="E75" s="18" t="inlineStr">
        <is>
          <t>Discussion 1</t>
        </is>
      </c>
      <c r="F75" s="18">
        <f>TEXT(G75,"ddd")</f>
        <v/>
      </c>
      <c r="G75" s="20">
        <f>Settings!$B$4+(B75-1)*Settings!$B$11+INDEX(Settings!$B$7:$B$9,MATCH(E75,Settings!$A$7:$A$9,0))</f>
        <v/>
      </c>
      <c r="H75" s="21">
        <f>G75-G74</f>
        <v/>
      </c>
      <c r="I75" s="22" t="inlineStr">
        <is>
          <t>arredondo-04-18-24-tao-te-ching-chaps-25-27-undifferentiated-root-of-lightness</t>
        </is>
      </c>
      <c r="J75" s="18" t="inlineStr">
        <is>
          <t>Planned</t>
        </is>
      </c>
      <c r="K75" s="18" t="n"/>
      <c r="L75" s="18" t="n"/>
      <c r="M75" s="20" t="n"/>
    </row>
    <row r="76" ht="15" customHeight="1" s="16">
      <c r="A76" s="18" t="n">
        <v>75</v>
      </c>
      <c r="B76" s="18">
        <f>INT((A76-1)/3)+1</f>
        <v/>
      </c>
      <c r="C76" s="19" t="n">
        <v>25</v>
      </c>
      <c r="D76" s="18" t="inlineStr">
        <is>
          <t>Something Undifferentiated</t>
        </is>
      </c>
      <c r="E76" s="18" t="inlineStr">
        <is>
          <t>Discussion 2</t>
        </is>
      </c>
      <c r="F76" s="18">
        <f>TEXT(G76,"ddd")</f>
        <v/>
      </c>
      <c r="G76" s="20">
        <f>Settings!$B$4+(B76-1)*Settings!$B$11+INDEX(Settings!$B$7:$B$9,MATCH(E76,Settings!$A$7:$A$9,0))</f>
        <v/>
      </c>
      <c r="H76" s="21">
        <f>G76-G75</f>
        <v/>
      </c>
      <c r="I76" s="22" t="inlineStr">
        <is>
          <t>arredondo-04-18-24-tao-te-ching-chaps-25-27-undifferentiated-root-of-lightness</t>
        </is>
      </c>
      <c r="J76" s="18" t="inlineStr">
        <is>
          <t>Planned</t>
        </is>
      </c>
      <c r="K76" s="18" t="n"/>
      <c r="L76" s="18" t="n"/>
      <c r="M76" s="20" t="n"/>
    </row>
    <row r="77" ht="15" customHeight="1" s="16">
      <c r="A77" s="18" t="n">
        <v>76</v>
      </c>
      <c r="B77" s="18">
        <f>INT((A77-1)/3)+1</f>
        <v/>
      </c>
      <c r="C77" s="19" t="n">
        <v>26</v>
      </c>
      <c r="D77" s="18" t="inlineStr">
        <is>
          <t>Gravity Is the Root of Lightness</t>
        </is>
      </c>
      <c r="E77" s="18" t="inlineStr">
        <is>
          <t>Reading</t>
        </is>
      </c>
      <c r="F77" s="18">
        <f>TEXT(G77,"ddd")</f>
        <v/>
      </c>
      <c r="G77" s="20">
        <f>Settings!$B$4+(B77-1)*Settings!$B$11+INDEX(Settings!$B$7:$B$9,MATCH(E77,Settings!$A$7:$A$9,0))</f>
        <v/>
      </c>
      <c r="H77" s="21">
        <f>G77-G76</f>
        <v/>
      </c>
      <c r="I77" s="22" t="inlineStr">
        <is>
          <t>arredondo-04-18-24-tao-te-ching-chaps-25-27-undifferentiated-root-of-lightness</t>
        </is>
      </c>
      <c r="J77" s="18" t="inlineStr">
        <is>
          <t>Planned</t>
        </is>
      </c>
      <c r="K77" s="18" t="n"/>
      <c r="L77" s="18" t="n"/>
      <c r="M77" s="20" t="n"/>
    </row>
    <row r="78" ht="15" customHeight="1" s="16">
      <c r="A78" s="18" t="n">
        <v>77</v>
      </c>
      <c r="B78" s="18">
        <f>INT((A78-1)/3)+1</f>
        <v/>
      </c>
      <c r="C78" s="19" t="n">
        <v>26</v>
      </c>
      <c r="D78" s="18" t="inlineStr">
        <is>
          <t>Gravity Is the Root of Lightness</t>
        </is>
      </c>
      <c r="E78" s="18" t="inlineStr">
        <is>
          <t>Discussion 1</t>
        </is>
      </c>
      <c r="F78" s="18">
        <f>TEXT(G78,"ddd")</f>
        <v/>
      </c>
      <c r="G78" s="20">
        <f>Settings!$B$4+(B78-1)*Settings!$B$11+INDEX(Settings!$B$7:$B$9,MATCH(E78,Settings!$A$7:$A$9,0))</f>
        <v/>
      </c>
      <c r="H78" s="21">
        <f>G78-G77</f>
        <v/>
      </c>
      <c r="I78" s="22" t="inlineStr">
        <is>
          <t>arredondo-04-18-24-tao-te-ching-chaps-25-27-undifferentiated-root-of-lightness</t>
        </is>
      </c>
      <c r="J78" s="18" t="inlineStr">
        <is>
          <t>Planned</t>
        </is>
      </c>
      <c r="K78" s="18" t="n"/>
      <c r="L78" s="18" t="n"/>
      <c r="M78" s="20" t="n"/>
    </row>
    <row r="79" ht="15" customHeight="1" s="16">
      <c r="A79" s="18" t="n">
        <v>78</v>
      </c>
      <c r="B79" s="18">
        <f>INT((A79-1)/3)+1</f>
        <v/>
      </c>
      <c r="C79" s="19" t="n">
        <v>26</v>
      </c>
      <c r="D79" s="18" t="inlineStr">
        <is>
          <t>Gravity Is the Root of Lightness</t>
        </is>
      </c>
      <c r="E79" s="18" t="inlineStr">
        <is>
          <t>Discussion 2</t>
        </is>
      </c>
      <c r="F79" s="18">
        <f>TEXT(G79,"ddd")</f>
        <v/>
      </c>
      <c r="G79" s="20">
        <f>Settings!$B$4+(B79-1)*Settings!$B$11+INDEX(Settings!$B$7:$B$9,MATCH(E79,Settings!$A$7:$A$9,0))</f>
        <v/>
      </c>
      <c r="H79" s="21">
        <f>G79-G78</f>
        <v/>
      </c>
      <c r="I79" s="22" t="inlineStr">
        <is>
          <t>arredondo-04-18-24-tao-te-ching-chaps-25-27-undifferentiated-root-of-lightness</t>
        </is>
      </c>
      <c r="J79" s="18" t="inlineStr">
        <is>
          <t>Planned</t>
        </is>
      </c>
      <c r="K79" s="18" t="n"/>
      <c r="L79" s="18" t="n"/>
      <c r="M79" s="20" t="n"/>
    </row>
    <row r="80" ht="15" customHeight="1" s="16">
      <c r="A80" s="18" t="n">
        <v>79</v>
      </c>
      <c r="B80" s="18">
        <f>INT((A80-1)/3)+1</f>
        <v/>
      </c>
      <c r="C80" s="19" t="n">
        <v>27</v>
      </c>
      <c r="D80" s="18" t="inlineStr">
        <is>
          <t>Good Works</t>
        </is>
      </c>
      <c r="E80" s="18" t="inlineStr">
        <is>
          <t>Reading</t>
        </is>
      </c>
      <c r="F80" s="18">
        <f>TEXT(G80,"ddd")</f>
        <v/>
      </c>
      <c r="G80" s="20">
        <f>Settings!$B$4+(B80-1)*Settings!$B$11+INDEX(Settings!$B$7:$B$9,MATCH(E80,Settings!$A$7:$A$9,0))</f>
        <v/>
      </c>
      <c r="H80" s="21">
        <f>G80-G79</f>
        <v/>
      </c>
      <c r="I80" s="22" t="inlineStr">
        <is>
          <t>arredondo-04-18-24-tao-te-ching-chaps-25-27-undifferentiated-root-of-lightness</t>
        </is>
      </c>
      <c r="J80" s="18" t="inlineStr">
        <is>
          <t>Planned</t>
        </is>
      </c>
      <c r="K80" s="18" t="n"/>
      <c r="L80" s="18" t="n"/>
      <c r="M80" s="20" t="n"/>
    </row>
    <row r="81" ht="15" customHeight="1" s="16">
      <c r="A81" s="18" t="n">
        <v>80</v>
      </c>
      <c r="B81" s="18">
        <f>INT((A81-1)/3)+1</f>
        <v/>
      </c>
      <c r="C81" s="19" t="n">
        <v>27</v>
      </c>
      <c r="D81" s="18" t="inlineStr">
        <is>
          <t>Good Works</t>
        </is>
      </c>
      <c r="E81" s="18" t="inlineStr">
        <is>
          <t>Discussion 1</t>
        </is>
      </c>
      <c r="F81" s="18">
        <f>TEXT(G81,"ddd")</f>
        <v/>
      </c>
      <c r="G81" s="20">
        <f>Settings!$B$4+(B81-1)*Settings!$B$11+INDEX(Settings!$B$7:$B$9,MATCH(E81,Settings!$A$7:$A$9,0))</f>
        <v/>
      </c>
      <c r="H81" s="21">
        <f>G81-G80</f>
        <v/>
      </c>
      <c r="I81" s="22" t="inlineStr">
        <is>
          <t>arredondo-04-18-24-tao-te-ching-chaps-25-27-undifferentiated-root-of-lightness</t>
        </is>
      </c>
      <c r="J81" s="18" t="inlineStr">
        <is>
          <t>Planned</t>
        </is>
      </c>
      <c r="K81" s="18" t="n"/>
      <c r="L81" s="18" t="n"/>
      <c r="M81" s="20" t="n"/>
    </row>
    <row r="82" ht="15" customHeight="1" s="16">
      <c r="A82" s="18" t="n">
        <v>81</v>
      </c>
      <c r="B82" s="18">
        <f>INT((A82-1)/3)+1</f>
        <v/>
      </c>
      <c r="C82" s="19" t="n">
        <v>27</v>
      </c>
      <c r="D82" s="18" t="inlineStr">
        <is>
          <t>Good Works</t>
        </is>
      </c>
      <c r="E82" s="18" t="inlineStr">
        <is>
          <t>Discussion 2</t>
        </is>
      </c>
      <c r="F82" s="18">
        <f>TEXT(G82,"ddd")</f>
        <v/>
      </c>
      <c r="G82" s="20">
        <f>Settings!$B$4+(B82-1)*Settings!$B$11+INDEX(Settings!$B$7:$B$9,MATCH(E82,Settings!$A$7:$A$9,0))</f>
        <v/>
      </c>
      <c r="H82" s="21">
        <f>G82-G81</f>
        <v/>
      </c>
      <c r="I82" s="22" t="inlineStr">
        <is>
          <t>arredondo-04-18-24-tao-te-ching-chaps-25-27-undifferentiated-root-of-lightness</t>
        </is>
      </c>
      <c r="J82" s="18" t="inlineStr">
        <is>
          <t>Planned</t>
        </is>
      </c>
      <c r="K82" s="18" t="n"/>
      <c r="L82" s="18" t="n"/>
      <c r="M82" s="20" t="n"/>
    </row>
    <row r="83" ht="15" customHeight="1" s="16">
      <c r="A83" s="18" t="n">
        <v>82</v>
      </c>
      <c r="B83" s="18">
        <f>INT((A83-1)/3)+1</f>
        <v/>
      </c>
      <c r="C83" s="19" t="n">
        <v>28</v>
      </c>
      <c r="D83" s="18" t="inlineStr">
        <is>
          <t>Know the Male</t>
        </is>
      </c>
      <c r="E83" s="18" t="inlineStr">
        <is>
          <t>Reading</t>
        </is>
      </c>
      <c r="F83" s="18">
        <f>TEXT(G83,"ddd")</f>
        <v/>
      </c>
      <c r="G83" s="20">
        <f>Settings!$B$4+(B83-1)*Settings!$B$11+INDEX(Settings!$B$7:$B$9,MATCH(E83,Settings!$A$7:$A$9,0))</f>
        <v/>
      </c>
      <c r="H83" s="21">
        <f>G83-G82</f>
        <v/>
      </c>
      <c r="I83" s="22" t="inlineStr">
        <is>
          <t>arredondo-04-19-24-tao-te-ching-chaps-28-30-keep-to-the-female-should-you-want</t>
        </is>
      </c>
      <c r="J83" s="18" t="inlineStr">
        <is>
          <t>Planned</t>
        </is>
      </c>
      <c r="K83" s="18" t="n"/>
      <c r="L83" s="18" t="n"/>
      <c r="M83" s="20" t="n"/>
    </row>
    <row r="84" ht="15" customHeight="1" s="16">
      <c r="A84" s="18" t="n">
        <v>83</v>
      </c>
      <c r="B84" s="18">
        <f>INT((A84-1)/3)+1</f>
        <v/>
      </c>
      <c r="C84" s="19" t="n">
        <v>28</v>
      </c>
      <c r="D84" s="18" t="inlineStr">
        <is>
          <t>Know the Male</t>
        </is>
      </c>
      <c r="E84" s="18" t="inlineStr">
        <is>
          <t>Discussion 1</t>
        </is>
      </c>
      <c r="F84" s="18">
        <f>TEXT(G84,"ddd")</f>
        <v/>
      </c>
      <c r="G84" s="20">
        <f>Settings!$B$4+(B84-1)*Settings!$B$11+INDEX(Settings!$B$7:$B$9,MATCH(E84,Settings!$A$7:$A$9,0))</f>
        <v/>
      </c>
      <c r="H84" s="21">
        <f>G84-G83</f>
        <v/>
      </c>
      <c r="I84" s="22" t="inlineStr">
        <is>
          <t>arredondo-04-19-24-tao-te-ching-chaps-28-30-keep-to-the-female-should-you-want</t>
        </is>
      </c>
      <c r="J84" s="18" t="inlineStr">
        <is>
          <t>Planned</t>
        </is>
      </c>
      <c r="K84" s="18" t="n"/>
      <c r="L84" s="18" t="n"/>
      <c r="M84" s="20" t="n"/>
    </row>
    <row r="85" ht="15" customHeight="1" s="16">
      <c r="A85" s="18" t="n">
        <v>84</v>
      </c>
      <c r="B85" s="18">
        <f>INT((A85-1)/3)+1</f>
        <v/>
      </c>
      <c r="C85" s="19" t="n">
        <v>28</v>
      </c>
      <c r="D85" s="18" t="inlineStr">
        <is>
          <t>Know the Male</t>
        </is>
      </c>
      <c r="E85" s="18" t="inlineStr">
        <is>
          <t>Discussion 2</t>
        </is>
      </c>
      <c r="F85" s="18">
        <f>TEXT(G85,"ddd")</f>
        <v/>
      </c>
      <c r="G85" s="20">
        <f>Settings!$B$4+(B85-1)*Settings!$B$11+INDEX(Settings!$B$7:$B$9,MATCH(E85,Settings!$A$7:$A$9,0))</f>
        <v/>
      </c>
      <c r="H85" s="21">
        <f>G85-G84</f>
        <v/>
      </c>
      <c r="I85" s="22" t="inlineStr">
        <is>
          <t>arredondo-04-19-24-tao-te-ching-chaps-28-30-keep-to-the-female-should-you-want</t>
        </is>
      </c>
      <c r="J85" s="18" t="inlineStr">
        <is>
          <t>Planned</t>
        </is>
      </c>
      <c r="K85" s="18" t="n"/>
      <c r="L85" s="18" t="n"/>
      <c r="M85" s="20" t="n"/>
    </row>
    <row r="86" ht="15" customHeight="1" s="16">
      <c r="A86" s="18" t="n">
        <v>85</v>
      </c>
      <c r="B86" s="18">
        <f>INT((A86-1)/3)+1</f>
        <v/>
      </c>
      <c r="C86" s="19" t="n">
        <v>29</v>
      </c>
      <c r="D86" s="18" t="inlineStr">
        <is>
          <t>Should You Want</t>
        </is>
      </c>
      <c r="E86" s="18" t="inlineStr">
        <is>
          <t>Reading</t>
        </is>
      </c>
      <c r="F86" s="18">
        <f>TEXT(G86,"ddd")</f>
        <v/>
      </c>
      <c r="G86" s="20">
        <f>Settings!$B$4+(B86-1)*Settings!$B$11+INDEX(Settings!$B$7:$B$9,MATCH(E86,Settings!$A$7:$A$9,0))</f>
        <v/>
      </c>
      <c r="H86" s="21">
        <f>G86-G85</f>
        <v/>
      </c>
      <c r="I86" s="22" t="inlineStr">
        <is>
          <t>arredondo-04-19-24-tao-te-ching-chaps-28-30-keep-to-the-female-should-you-want</t>
        </is>
      </c>
      <c r="J86" s="18" t="inlineStr">
        <is>
          <t>Planned</t>
        </is>
      </c>
      <c r="K86" s="18" t="n"/>
      <c r="L86" s="18" t="n"/>
      <c r="M86" s="20" t="n"/>
    </row>
    <row r="87" ht="15" customHeight="1" s="16">
      <c r="A87" s="18" t="n">
        <v>86</v>
      </c>
      <c r="B87" s="18">
        <f>INT((A87-1)/3)+1</f>
        <v/>
      </c>
      <c r="C87" s="19" t="n">
        <v>29</v>
      </c>
      <c r="D87" s="18" t="inlineStr">
        <is>
          <t>Should You Want</t>
        </is>
      </c>
      <c r="E87" s="18" t="inlineStr">
        <is>
          <t>Discussion 1</t>
        </is>
      </c>
      <c r="F87" s="18">
        <f>TEXT(G87,"ddd")</f>
        <v/>
      </c>
      <c r="G87" s="20">
        <f>Settings!$B$4+(B87-1)*Settings!$B$11+INDEX(Settings!$B$7:$B$9,MATCH(E87,Settings!$A$7:$A$9,0))</f>
        <v/>
      </c>
      <c r="H87" s="21">
        <f>G87-G86</f>
        <v/>
      </c>
      <c r="I87" s="22" t="inlineStr">
        <is>
          <t>arredondo-04-19-24-tao-te-ching-chaps-28-30-keep-to-the-female-should-you-want</t>
        </is>
      </c>
      <c r="J87" s="18" t="inlineStr">
        <is>
          <t>Planned</t>
        </is>
      </c>
      <c r="K87" s="18" t="n"/>
      <c r="L87" s="18" t="n"/>
      <c r="M87" s="20" t="n"/>
    </row>
    <row r="88" ht="15" customHeight="1" s="16">
      <c r="A88" s="18" t="n">
        <v>87</v>
      </c>
      <c r="B88" s="18">
        <f>INT((A88-1)/3)+1</f>
        <v/>
      </c>
      <c r="C88" s="19" t="n">
        <v>29</v>
      </c>
      <c r="D88" s="18" t="inlineStr">
        <is>
          <t>Should You Want</t>
        </is>
      </c>
      <c r="E88" s="18" t="inlineStr">
        <is>
          <t>Discussion 2</t>
        </is>
      </c>
      <c r="F88" s="18">
        <f>TEXT(G88,"ddd")</f>
        <v/>
      </c>
      <c r="G88" s="20">
        <f>Settings!$B$4+(B88-1)*Settings!$B$11+INDEX(Settings!$B$7:$B$9,MATCH(E88,Settings!$A$7:$A$9,0))</f>
        <v/>
      </c>
      <c r="H88" s="21">
        <f>G88-G87</f>
        <v/>
      </c>
      <c r="I88" s="22" t="inlineStr">
        <is>
          <t>arredondo-04-19-24-tao-te-ching-chaps-28-30-keep-to-the-female-should-you-want</t>
        </is>
      </c>
      <c r="J88" s="18" t="inlineStr">
        <is>
          <t>Planned</t>
        </is>
      </c>
      <c r="K88" s="18" t="n"/>
      <c r="L88" s="18" t="n"/>
      <c r="M88" s="20" t="n"/>
    </row>
    <row r="89" ht="15" customHeight="1" s="16">
      <c r="A89" s="18" t="n">
        <v>88</v>
      </c>
      <c r="B89" s="18">
        <f>INT((A89-1)/3)+1</f>
        <v/>
      </c>
      <c r="C89" s="19" t="n">
        <v>30</v>
      </c>
      <c r="D89" s="18" t="inlineStr">
        <is>
          <t>Assisting Human Leaders with the Way</t>
        </is>
      </c>
      <c r="E89" s="18" t="inlineStr">
        <is>
          <t>Reading</t>
        </is>
      </c>
      <c r="F89" s="18">
        <f>TEXT(G89,"ddd")</f>
        <v/>
      </c>
      <c r="G89" s="20">
        <f>Settings!$B$4+(B89-1)*Settings!$B$11+INDEX(Settings!$B$7:$B$9,MATCH(E89,Settings!$A$7:$A$9,0))</f>
        <v/>
      </c>
      <c r="H89" s="21">
        <f>G89-G88</f>
        <v/>
      </c>
      <c r="I89" s="22" t="inlineStr">
        <is>
          <t>arredondo-04-19-24-tao-te-ching-chaps-28-30-keep-to-the-female-should-you-want</t>
        </is>
      </c>
      <c r="J89" s="18" t="inlineStr">
        <is>
          <t>Planned</t>
        </is>
      </c>
      <c r="K89" s="18" t="n"/>
      <c r="L89" s="18" t="n"/>
      <c r="M89" s="20" t="n"/>
    </row>
    <row r="90" ht="15" customHeight="1" s="16">
      <c r="A90" s="18" t="n">
        <v>89</v>
      </c>
      <c r="B90" s="18">
        <f>INT((A90-1)/3)+1</f>
        <v/>
      </c>
      <c r="C90" s="19" t="n">
        <v>30</v>
      </c>
      <c r="D90" s="18" t="inlineStr">
        <is>
          <t>Assisting Human Leaders with the Way</t>
        </is>
      </c>
      <c r="E90" s="18" t="inlineStr">
        <is>
          <t>Discussion 1</t>
        </is>
      </c>
      <c r="F90" s="18">
        <f>TEXT(G90,"ddd")</f>
        <v/>
      </c>
      <c r="G90" s="20">
        <f>Settings!$B$4+(B90-1)*Settings!$B$11+INDEX(Settings!$B$7:$B$9,MATCH(E90,Settings!$A$7:$A$9,0))</f>
        <v/>
      </c>
      <c r="H90" s="21">
        <f>G90-G89</f>
        <v/>
      </c>
      <c r="I90" s="22" t="inlineStr">
        <is>
          <t>arredondo-04-19-24-tao-te-ching-chaps-28-30-keep-to-the-female-should-you-want</t>
        </is>
      </c>
      <c r="J90" s="18" t="inlineStr">
        <is>
          <t>Planned</t>
        </is>
      </c>
      <c r="K90" s="18" t="n"/>
      <c r="L90" s="18" t="n"/>
      <c r="M90" s="20" t="n"/>
    </row>
    <row r="91" ht="15" customHeight="1" s="16">
      <c r="A91" s="18" t="n">
        <v>90</v>
      </c>
      <c r="B91" s="18">
        <f>INT((A91-1)/3)+1</f>
        <v/>
      </c>
      <c r="C91" s="19" t="n">
        <v>30</v>
      </c>
      <c r="D91" s="18" t="inlineStr">
        <is>
          <t>Assisting Human Leaders with the Way</t>
        </is>
      </c>
      <c r="E91" s="18" t="inlineStr">
        <is>
          <t>Discussion 2</t>
        </is>
      </c>
      <c r="F91" s="18">
        <f>TEXT(G91,"ddd")</f>
        <v/>
      </c>
      <c r="G91" s="20">
        <f>Settings!$B$4+(B91-1)*Settings!$B$11+INDEX(Settings!$B$7:$B$9,MATCH(E91,Settings!$A$7:$A$9,0))</f>
        <v/>
      </c>
      <c r="H91" s="21">
        <f>G91-G90</f>
        <v/>
      </c>
      <c r="I91" s="22" t="inlineStr">
        <is>
          <t>arredondo-04-19-24-tao-te-ching-chaps-28-30-keep-to-the-female-should-you-want</t>
        </is>
      </c>
      <c r="J91" s="18" t="inlineStr">
        <is>
          <t>Planned</t>
        </is>
      </c>
      <c r="K91" s="18" t="n"/>
      <c r="L91" s="18" t="n"/>
      <c r="M91" s="20" t="n"/>
    </row>
    <row r="92" ht="15" customHeight="1" s="16">
      <c r="A92" s="18" t="n">
        <v>91</v>
      </c>
      <c r="B92" s="18">
        <f>INT((A92-1)/3)+1</f>
        <v/>
      </c>
      <c r="C92" s="19" t="n">
        <v>31</v>
      </c>
      <c r="D92" s="18" t="inlineStr">
        <is>
          <t>Fine Weapons</t>
        </is>
      </c>
      <c r="E92" s="18" t="inlineStr">
        <is>
          <t>Reading</t>
        </is>
      </c>
      <c r="F92" s="18">
        <f>TEXT(G92,"ddd")</f>
        <v/>
      </c>
      <c r="G92" s="20">
        <f>Settings!$B$4+(B92-1)*Settings!$B$11+INDEX(Settings!$B$7:$B$9,MATCH(E92,Settings!$A$7:$A$9,0))</f>
        <v/>
      </c>
      <c r="H92" s="21">
        <f>G92-G91</f>
        <v/>
      </c>
      <c r="I92" s="22" t="inlineStr">
        <is>
          <t>arredondo-04-19-24-tao-te-ching-chaps-31-33-fine-weapons-eternally-nameless-tho</t>
        </is>
      </c>
      <c r="J92" s="18" t="inlineStr">
        <is>
          <t>Planned</t>
        </is>
      </c>
      <c r="K92" s="18" t="n"/>
      <c r="L92" s="18" t="n"/>
      <c r="M92" s="20" t="n"/>
    </row>
    <row r="93" ht="15" customHeight="1" s="16">
      <c r="A93" s="18" t="n">
        <v>92</v>
      </c>
      <c r="B93" s="18">
        <f>INT((A93-1)/3)+1</f>
        <v/>
      </c>
      <c r="C93" s="19" t="n">
        <v>31</v>
      </c>
      <c r="D93" s="18" t="inlineStr">
        <is>
          <t>Fine Weapons</t>
        </is>
      </c>
      <c r="E93" s="18" t="inlineStr">
        <is>
          <t>Discussion 1</t>
        </is>
      </c>
      <c r="F93" s="18">
        <f>TEXT(G93,"ddd")</f>
        <v/>
      </c>
      <c r="G93" s="20">
        <f>Settings!$B$4+(B93-1)*Settings!$B$11+INDEX(Settings!$B$7:$B$9,MATCH(E93,Settings!$A$7:$A$9,0))</f>
        <v/>
      </c>
      <c r="H93" s="21">
        <f>G93-G92</f>
        <v/>
      </c>
      <c r="I93" s="22" t="inlineStr">
        <is>
          <t>arredondo-04-19-24-tao-te-ching-chaps-31-33-fine-weapons-eternally-nameless-tho</t>
        </is>
      </c>
      <c r="J93" s="18" t="inlineStr">
        <is>
          <t>Planned</t>
        </is>
      </c>
      <c r="K93" s="18" t="n"/>
      <c r="L93" s="18" t="n"/>
      <c r="M93" s="20" t="n"/>
    </row>
    <row r="94" ht="15" customHeight="1" s="16">
      <c r="A94" s="18" t="n">
        <v>93</v>
      </c>
      <c r="B94" s="18">
        <f>INT((A94-1)/3)+1</f>
        <v/>
      </c>
      <c r="C94" s="19" t="n">
        <v>31</v>
      </c>
      <c r="D94" s="18" t="inlineStr">
        <is>
          <t>Fine Weapons</t>
        </is>
      </c>
      <c r="E94" s="18" t="inlineStr">
        <is>
          <t>Discussion 2</t>
        </is>
      </c>
      <c r="F94" s="18">
        <f>TEXT(G94,"ddd")</f>
        <v/>
      </c>
      <c r="G94" s="20">
        <f>Settings!$B$4+(B94-1)*Settings!$B$11+INDEX(Settings!$B$7:$B$9,MATCH(E94,Settings!$A$7:$A$9,0))</f>
        <v/>
      </c>
      <c r="H94" s="21">
        <f>G94-G93</f>
        <v/>
      </c>
      <c r="I94" s="22" t="inlineStr">
        <is>
          <t>arredondo-04-19-24-tao-te-ching-chaps-31-33-fine-weapons-eternally-nameless-tho</t>
        </is>
      </c>
      <c r="J94" s="18" t="inlineStr">
        <is>
          <t>Planned</t>
        </is>
      </c>
      <c r="K94" s="18" t="n"/>
      <c r="L94" s="18" t="n"/>
      <c r="M94" s="20" t="n"/>
    </row>
    <row r="95" ht="15" customHeight="1" s="16">
      <c r="A95" s="18" t="n">
        <v>94</v>
      </c>
      <c r="B95" s="18">
        <f>INT((A95-1)/3)+1</f>
        <v/>
      </c>
      <c r="C95" s="19" t="n">
        <v>32</v>
      </c>
      <c r="D95" s="18" t="inlineStr">
        <is>
          <t>The Way Is Eternally Nameless</t>
        </is>
      </c>
      <c r="E95" s="18" t="inlineStr">
        <is>
          <t>Reading</t>
        </is>
      </c>
      <c r="F95" s="18">
        <f>TEXT(G95,"ddd")</f>
        <v/>
      </c>
      <c r="G95" s="20">
        <f>Settings!$B$4+(B95-1)*Settings!$B$11+INDEX(Settings!$B$7:$B$9,MATCH(E95,Settings!$A$7:$A$9,0))</f>
        <v/>
      </c>
      <c r="H95" s="21">
        <f>G95-G94</f>
        <v/>
      </c>
      <c r="I95" s="22" t="inlineStr">
        <is>
          <t>arredondo-04-19-24-tao-te-ching-chaps-31-33-fine-weapons-eternally-nameless-tho</t>
        </is>
      </c>
      <c r="J95" s="18" t="inlineStr">
        <is>
          <t>Planned</t>
        </is>
      </c>
      <c r="K95" s="18" t="n"/>
      <c r="L95" s="18" t="n"/>
      <c r="M95" s="20" t="n"/>
    </row>
    <row r="96" ht="15" customHeight="1" s="16">
      <c r="A96" s="18" t="n">
        <v>95</v>
      </c>
      <c r="B96" s="18">
        <f>INT((A96-1)/3)+1</f>
        <v/>
      </c>
      <c r="C96" s="19" t="n">
        <v>32</v>
      </c>
      <c r="D96" s="18" t="inlineStr">
        <is>
          <t>The Way Is Eternally Nameless</t>
        </is>
      </c>
      <c r="E96" s="18" t="inlineStr">
        <is>
          <t>Discussion 1</t>
        </is>
      </c>
      <c r="F96" s="18">
        <f>TEXT(G96,"ddd")</f>
        <v/>
      </c>
      <c r="G96" s="20">
        <f>Settings!$B$4+(B96-1)*Settings!$B$11+INDEX(Settings!$B$7:$B$9,MATCH(E96,Settings!$A$7:$A$9,0))</f>
        <v/>
      </c>
      <c r="H96" s="21">
        <f>G96-G95</f>
        <v/>
      </c>
      <c r="I96" s="22" t="inlineStr">
        <is>
          <t>arredondo-04-19-24-tao-te-ching-chaps-31-33-fine-weapons-eternally-nameless-tho</t>
        </is>
      </c>
      <c r="J96" s="18" t="inlineStr">
        <is>
          <t>Planned</t>
        </is>
      </c>
      <c r="K96" s="18" t="n"/>
      <c r="L96" s="18" t="n"/>
      <c r="M96" s="20" t="n"/>
    </row>
    <row r="97" ht="15" customHeight="1" s="16">
      <c r="A97" s="18" t="n">
        <v>96</v>
      </c>
      <c r="B97" s="18">
        <f>INT((A97-1)/3)+1</f>
        <v/>
      </c>
      <c r="C97" s="19" t="n">
        <v>32</v>
      </c>
      <c r="D97" s="18" t="inlineStr">
        <is>
          <t>The Way Is Eternally Nameless</t>
        </is>
      </c>
      <c r="E97" s="18" t="inlineStr">
        <is>
          <t>Discussion 2</t>
        </is>
      </c>
      <c r="F97" s="18">
        <f>TEXT(G97,"ddd")</f>
        <v/>
      </c>
      <c r="G97" s="20">
        <f>Settings!$B$4+(B97-1)*Settings!$B$11+INDEX(Settings!$B$7:$B$9,MATCH(E97,Settings!$A$7:$A$9,0))</f>
        <v/>
      </c>
      <c r="H97" s="21">
        <f>G97-G96</f>
        <v/>
      </c>
      <c r="I97" s="22" t="inlineStr">
        <is>
          <t>arredondo-04-19-24-tao-te-ching-chaps-31-33-fine-weapons-eternally-nameless-tho</t>
        </is>
      </c>
      <c r="J97" s="18" t="inlineStr">
        <is>
          <t>Planned</t>
        </is>
      </c>
      <c r="K97" s="18" t="n"/>
      <c r="L97" s="18" t="n"/>
      <c r="M97" s="20" t="n"/>
    </row>
    <row r="98" ht="15" customHeight="1" s="16">
      <c r="A98" s="18" t="n">
        <v>97</v>
      </c>
      <c r="B98" s="18">
        <f>INT((A98-1)/3)+1</f>
        <v/>
      </c>
      <c r="C98" s="19" t="n">
        <v>33</v>
      </c>
      <c r="D98" s="18" t="inlineStr">
        <is>
          <t>Those Who Know Others</t>
        </is>
      </c>
      <c r="E98" s="18" t="inlineStr">
        <is>
          <t>Reading</t>
        </is>
      </c>
      <c r="F98" s="18">
        <f>TEXT(G98,"ddd")</f>
        <v/>
      </c>
      <c r="G98" s="20">
        <f>Settings!$B$4+(B98-1)*Settings!$B$11+INDEX(Settings!$B$7:$B$9,MATCH(E98,Settings!$A$7:$A$9,0))</f>
        <v/>
      </c>
      <c r="H98" s="21">
        <f>G98-G97</f>
        <v/>
      </c>
      <c r="I98" s="22" t="inlineStr">
        <is>
          <t>arredondo-04-19-24-tao-te-ching-chaps-31-33-fine-weapons-eternally-nameless-tho</t>
        </is>
      </c>
      <c r="J98" s="18" t="inlineStr">
        <is>
          <t>Planned</t>
        </is>
      </c>
      <c r="K98" s="18" t="n"/>
      <c r="L98" s="18" t="n"/>
      <c r="M98" s="20" t="n"/>
    </row>
    <row r="99" ht="15" customHeight="1" s="16">
      <c r="A99" s="18" t="n">
        <v>98</v>
      </c>
      <c r="B99" s="18">
        <f>INT((A99-1)/3)+1</f>
        <v/>
      </c>
      <c r="C99" s="19" t="n">
        <v>33</v>
      </c>
      <c r="D99" s="18" t="inlineStr">
        <is>
          <t>Those Who Know Others</t>
        </is>
      </c>
      <c r="E99" s="18" t="inlineStr">
        <is>
          <t>Discussion 1</t>
        </is>
      </c>
      <c r="F99" s="18">
        <f>TEXT(G99,"ddd")</f>
        <v/>
      </c>
      <c r="G99" s="20">
        <f>Settings!$B$4+(B99-1)*Settings!$B$11+INDEX(Settings!$B$7:$B$9,MATCH(E99,Settings!$A$7:$A$9,0))</f>
        <v/>
      </c>
      <c r="H99" s="21">
        <f>G99-G98</f>
        <v/>
      </c>
      <c r="I99" s="22" t="inlineStr">
        <is>
          <t>arredondo-04-19-24-tao-te-ching-chaps-31-33-fine-weapons-eternally-nameless-tho</t>
        </is>
      </c>
      <c r="J99" s="18" t="inlineStr">
        <is>
          <t>Planned</t>
        </is>
      </c>
      <c r="K99" s="18" t="n"/>
      <c r="L99" s="18" t="n"/>
      <c r="M99" s="20" t="n"/>
    </row>
    <row r="100" ht="15" customHeight="1" s="16">
      <c r="A100" s="18" t="n">
        <v>99</v>
      </c>
      <c r="B100" s="18">
        <f>INT((A100-1)/3)+1</f>
        <v/>
      </c>
      <c r="C100" s="19" t="n">
        <v>33</v>
      </c>
      <c r="D100" s="18" t="inlineStr">
        <is>
          <t>Those Who Know Others</t>
        </is>
      </c>
      <c r="E100" s="18" t="inlineStr">
        <is>
          <t>Discussion 2</t>
        </is>
      </c>
      <c r="F100" s="18">
        <f>TEXT(G100,"ddd")</f>
        <v/>
      </c>
      <c r="G100" s="20">
        <f>Settings!$B$4+(B100-1)*Settings!$B$11+INDEX(Settings!$B$7:$B$9,MATCH(E100,Settings!$A$7:$A$9,0))</f>
        <v/>
      </c>
      <c r="H100" s="21">
        <f>G100-G99</f>
        <v/>
      </c>
      <c r="I100" s="22" t="inlineStr">
        <is>
          <t>arredondo-04-19-24-tao-te-ching-chaps-31-33-fine-weapons-eternally-nameless-tho</t>
        </is>
      </c>
      <c r="J100" s="18" t="inlineStr">
        <is>
          <t>Planned</t>
        </is>
      </c>
      <c r="K100" s="18" t="n"/>
      <c r="L100" s="18" t="n"/>
      <c r="M100" s="20" t="n"/>
    </row>
    <row r="101" ht="15" customHeight="1" s="16">
      <c r="A101" s="18" t="n">
        <v>100</v>
      </c>
      <c r="B101" s="18">
        <f>INT((A101-1)/3)+1</f>
        <v/>
      </c>
      <c r="C101" s="19" t="n">
        <v>34</v>
      </c>
      <c r="D101" s="18" t="inlineStr">
        <is>
          <t>The Great Way is Universal</t>
        </is>
      </c>
      <c r="E101" s="18" t="inlineStr">
        <is>
          <t>Reading</t>
        </is>
      </c>
      <c r="F101" s="18">
        <f>TEXT(G101,"ddd")</f>
        <v/>
      </c>
      <c r="G101" s="20">
        <f>Settings!$B$4+(B101-1)*Settings!$B$11+INDEX(Settings!$B$7:$B$9,MATCH(E101,Settings!$A$7:$A$9,0))</f>
        <v/>
      </c>
      <c r="H101" s="21">
        <f>G101-G100</f>
        <v/>
      </c>
      <c r="I101" s="22" t="inlineStr">
        <is>
          <t>arredondo-04-24-24-tao-te-ching-chaps-34-37-universal-great-image-contain-uncon</t>
        </is>
      </c>
      <c r="J101" s="18" t="inlineStr">
        <is>
          <t>Planned</t>
        </is>
      </c>
      <c r="K101" s="18" t="n"/>
      <c r="L101" s="18" t="n"/>
      <c r="M101" s="20" t="n"/>
    </row>
    <row r="102" ht="15" customHeight="1" s="16">
      <c r="A102" s="18" t="n">
        <v>101</v>
      </c>
      <c r="B102" s="18">
        <f>INT((A102-1)/3)+1</f>
        <v/>
      </c>
      <c r="C102" s="19" t="n">
        <v>34</v>
      </c>
      <c r="D102" s="18" t="inlineStr">
        <is>
          <t>The Great Way is Universal</t>
        </is>
      </c>
      <c r="E102" s="18" t="inlineStr">
        <is>
          <t>Discussion 1</t>
        </is>
      </c>
      <c r="F102" s="18">
        <f>TEXT(G102,"ddd")</f>
        <v/>
      </c>
      <c r="G102" s="20">
        <f>Settings!$B$4+(B102-1)*Settings!$B$11+INDEX(Settings!$B$7:$B$9,MATCH(E102,Settings!$A$7:$A$9,0))</f>
        <v/>
      </c>
      <c r="H102" s="21">
        <f>G102-G101</f>
        <v/>
      </c>
      <c r="I102" s="22" t="inlineStr">
        <is>
          <t>arredondo-04-24-24-tao-te-ching-chaps-34-37-universal-great-image-contain-uncon</t>
        </is>
      </c>
      <c r="J102" s="18" t="inlineStr">
        <is>
          <t>Planned</t>
        </is>
      </c>
      <c r="K102" s="18" t="n"/>
      <c r="L102" s="18" t="n"/>
      <c r="M102" s="20" t="n"/>
    </row>
    <row r="103" ht="15" customHeight="1" s="16">
      <c r="A103" s="18" t="n">
        <v>102</v>
      </c>
      <c r="B103" s="18">
        <f>INT((A103-1)/3)+1</f>
        <v/>
      </c>
      <c r="C103" s="19" t="n">
        <v>34</v>
      </c>
      <c r="D103" s="18" t="inlineStr">
        <is>
          <t>The Great Way is Universal</t>
        </is>
      </c>
      <c r="E103" s="18" t="inlineStr">
        <is>
          <t>Discussion 2</t>
        </is>
      </c>
      <c r="F103" s="18">
        <f>TEXT(G103,"ddd")</f>
        <v/>
      </c>
      <c r="G103" s="20">
        <f>Settings!$B$4+(B103-1)*Settings!$B$11+INDEX(Settings!$B$7:$B$9,MATCH(E103,Settings!$A$7:$A$9,0))</f>
        <v/>
      </c>
      <c r="H103" s="21">
        <f>G103-G102</f>
        <v/>
      </c>
      <c r="I103" s="22" t="inlineStr">
        <is>
          <t>arredondo-04-24-24-tao-te-ching-chaps-34-37-universal-great-image-contain-uncon</t>
        </is>
      </c>
      <c r="J103" s="18" t="inlineStr">
        <is>
          <t>Planned</t>
        </is>
      </c>
      <c r="K103" s="18" t="n"/>
      <c r="L103" s="18" t="n"/>
      <c r="M103" s="20" t="n"/>
    </row>
    <row r="104" ht="15" customHeight="1" s="16">
      <c r="A104" s="18" t="n">
        <v>103</v>
      </c>
      <c r="B104" s="18">
        <f>INT((A104-1)/3)+1</f>
        <v/>
      </c>
      <c r="C104" s="19" t="n">
        <v>35</v>
      </c>
      <c r="D104" s="18" t="inlineStr">
        <is>
          <t>Holding the Great Image</t>
        </is>
      </c>
      <c r="E104" s="18" t="inlineStr">
        <is>
          <t>Reading</t>
        </is>
      </c>
      <c r="F104" s="18">
        <f>TEXT(G104,"ddd")</f>
        <v/>
      </c>
      <c r="G104" s="20">
        <f>Settings!$B$4+(B104-1)*Settings!$B$11+INDEX(Settings!$B$7:$B$9,MATCH(E104,Settings!$A$7:$A$9,0))</f>
        <v/>
      </c>
      <c r="H104" s="21">
        <f>G104-G103</f>
        <v/>
      </c>
      <c r="I104" s="22" t="inlineStr">
        <is>
          <t>arredondo-04-24-24-tao-te-ching-chaps-34-37-universal-great-image-contain-uncon</t>
        </is>
      </c>
      <c r="J104" s="18" t="inlineStr">
        <is>
          <t>Planned</t>
        </is>
      </c>
      <c r="K104" s="18" t="n"/>
      <c r="L104" s="18" t="n"/>
      <c r="M104" s="20" t="n"/>
    </row>
    <row r="105" ht="15" customHeight="1" s="16">
      <c r="A105" s="18" t="n">
        <v>104</v>
      </c>
      <c r="B105" s="18">
        <f>INT((A105-1)/3)+1</f>
        <v/>
      </c>
      <c r="C105" s="19" t="n">
        <v>35</v>
      </c>
      <c r="D105" s="18" t="inlineStr">
        <is>
          <t>Holding the Great Image</t>
        </is>
      </c>
      <c r="E105" s="18" t="inlineStr">
        <is>
          <t>Discussion 1</t>
        </is>
      </c>
      <c r="F105" s="18">
        <f>TEXT(G105,"ddd")</f>
        <v/>
      </c>
      <c r="G105" s="20">
        <f>Settings!$B$4+(B105-1)*Settings!$B$11+INDEX(Settings!$B$7:$B$9,MATCH(E105,Settings!$A$7:$A$9,0))</f>
        <v/>
      </c>
      <c r="H105" s="21">
        <f>G105-G104</f>
        <v/>
      </c>
      <c r="I105" s="22" t="inlineStr">
        <is>
          <t>arredondo-04-24-24-tao-te-ching-chaps-34-37-universal-great-image-contain-uncon</t>
        </is>
      </c>
      <c r="J105" s="18" t="inlineStr">
        <is>
          <t>Planned</t>
        </is>
      </c>
      <c r="K105" s="18" t="n"/>
      <c r="L105" s="18" t="n"/>
      <c r="M105" s="20" t="n"/>
    </row>
    <row r="106" ht="15" customHeight="1" s="16">
      <c r="A106" s="18" t="n">
        <v>105</v>
      </c>
      <c r="B106" s="18">
        <f>INT((A106-1)/3)+1</f>
        <v/>
      </c>
      <c r="C106" s="19" t="n">
        <v>35</v>
      </c>
      <c r="D106" s="18" t="inlineStr">
        <is>
          <t>Holding the Great Image</t>
        </is>
      </c>
      <c r="E106" s="18" t="inlineStr">
        <is>
          <t>Discussion 2</t>
        </is>
      </c>
      <c r="F106" s="18">
        <f>TEXT(G106,"ddd")</f>
        <v/>
      </c>
      <c r="G106" s="20">
        <f>Settings!$B$4+(B106-1)*Settings!$B$11+INDEX(Settings!$B$7:$B$9,MATCH(E106,Settings!$A$7:$A$9,0))</f>
        <v/>
      </c>
      <c r="H106" s="21">
        <f>G106-G105</f>
        <v/>
      </c>
      <c r="I106" s="22" t="inlineStr">
        <is>
          <t>arredondo-04-24-24-tao-te-ching-chaps-34-37-universal-great-image-contain-uncon</t>
        </is>
      </c>
      <c r="J106" s="18" t="inlineStr">
        <is>
          <t>Planned</t>
        </is>
      </c>
      <c r="K106" s="18" t="n"/>
      <c r="L106" s="18" t="n"/>
      <c r="M106" s="20" t="n"/>
    </row>
    <row r="107" ht="15" customHeight="1" s="16">
      <c r="A107" s="18" t="n">
        <v>106</v>
      </c>
      <c r="B107" s="18">
        <f>INT((A107-1)/3)+1</f>
        <v/>
      </c>
      <c r="C107" s="19" t="n">
        <v>36</v>
      </c>
      <c r="D107" s="18" t="inlineStr">
        <is>
          <t>Should You Want to Contain</t>
        </is>
      </c>
      <c r="E107" s="18" t="inlineStr">
        <is>
          <t>Reading</t>
        </is>
      </c>
      <c r="F107" s="18">
        <f>TEXT(G107,"ddd")</f>
        <v/>
      </c>
      <c r="G107" s="20">
        <f>Settings!$B$4+(B107-1)*Settings!$B$11+INDEX(Settings!$B$7:$B$9,MATCH(E107,Settings!$A$7:$A$9,0))</f>
        <v/>
      </c>
      <c r="H107" s="21">
        <f>G107-G106</f>
        <v/>
      </c>
      <c r="I107" s="22" t="inlineStr">
        <is>
          <t>arredondo-04-24-24-tao-te-ching-chaps-34-37-universal-great-image-contain-uncon</t>
        </is>
      </c>
      <c r="J107" s="18" t="inlineStr">
        <is>
          <t>Planned</t>
        </is>
      </c>
      <c r="K107" s="18" t="n"/>
      <c r="L107" s="18" t="n"/>
      <c r="M107" s="20" t="n"/>
    </row>
    <row r="108" ht="15" customHeight="1" s="16">
      <c r="A108" s="18" t="n">
        <v>107</v>
      </c>
      <c r="B108" s="18">
        <f>INT((A108-1)/3)+1</f>
        <v/>
      </c>
      <c r="C108" s="19" t="n">
        <v>36</v>
      </c>
      <c r="D108" s="18" t="inlineStr">
        <is>
          <t>Should You Want to Contain</t>
        </is>
      </c>
      <c r="E108" s="18" t="inlineStr">
        <is>
          <t>Discussion 1</t>
        </is>
      </c>
      <c r="F108" s="18">
        <f>TEXT(G108,"ddd")</f>
        <v/>
      </c>
      <c r="G108" s="20">
        <f>Settings!$B$4+(B108-1)*Settings!$B$11+INDEX(Settings!$B$7:$B$9,MATCH(E108,Settings!$A$7:$A$9,0))</f>
        <v/>
      </c>
      <c r="H108" s="21">
        <f>G108-G107</f>
        <v/>
      </c>
      <c r="I108" s="22" t="inlineStr">
        <is>
          <t>arredondo-04-24-24-tao-te-ching-chaps-34-37-universal-great-image-contain-uncon</t>
        </is>
      </c>
      <c r="J108" s="18" t="inlineStr">
        <is>
          <t>Planned</t>
        </is>
      </c>
      <c r="K108" s="18" t="n"/>
      <c r="L108" s="18" t="n"/>
      <c r="M108" s="20" t="n"/>
    </row>
    <row r="109" ht="15" customHeight="1" s="16">
      <c r="A109" s="18" t="n">
        <v>108</v>
      </c>
      <c r="B109" s="18">
        <f>INT((A109-1)/3)+1</f>
        <v/>
      </c>
      <c r="C109" s="19" t="n">
        <v>36</v>
      </c>
      <c r="D109" s="18" t="inlineStr">
        <is>
          <t>Should You Want to Contain</t>
        </is>
      </c>
      <c r="E109" s="18" t="inlineStr">
        <is>
          <t>Discussion 2</t>
        </is>
      </c>
      <c r="F109" s="18">
        <f>TEXT(G109,"ddd")</f>
        <v/>
      </c>
      <c r="G109" s="20">
        <f>Settings!$B$4+(B109-1)*Settings!$B$11+INDEX(Settings!$B$7:$B$9,MATCH(E109,Settings!$A$7:$A$9,0))</f>
        <v/>
      </c>
      <c r="H109" s="21">
        <f>G109-G108</f>
        <v/>
      </c>
      <c r="I109" s="22" t="inlineStr">
        <is>
          <t>arredondo-04-24-24-tao-te-ching-chaps-34-37-universal-great-image-contain-uncon</t>
        </is>
      </c>
      <c r="J109" s="18" t="inlineStr">
        <is>
          <t>Planned</t>
        </is>
      </c>
      <c r="K109" s="18" t="n"/>
      <c r="L109" s="18" t="n"/>
      <c r="M109" s="20" t="n"/>
    </row>
    <row r="110" ht="15" customHeight="1" s="16">
      <c r="A110" s="18" t="n">
        <v>109</v>
      </c>
      <c r="B110" s="18">
        <f>INT((A110-1)/3)+1</f>
        <v/>
      </c>
      <c r="C110" s="19" t="n">
        <v>37</v>
      </c>
      <c r="D110" s="18" t="inlineStr">
        <is>
          <t>The Way Is Always Uncontrived</t>
        </is>
      </c>
      <c r="E110" s="18" t="inlineStr">
        <is>
          <t>Reading</t>
        </is>
      </c>
      <c r="F110" s="18">
        <f>TEXT(G110,"ddd")</f>
        <v/>
      </c>
      <c r="G110" s="20">
        <f>Settings!$B$4+(B110-1)*Settings!$B$11+INDEX(Settings!$B$7:$B$9,MATCH(E110,Settings!$A$7:$A$9,0))</f>
        <v/>
      </c>
      <c r="H110" s="21">
        <f>G110-G109</f>
        <v/>
      </c>
      <c r="I110" s="22" t="inlineStr">
        <is>
          <t>arredondo-04-24-24-tao-te-ching-chaps-34-37-universal-great-image-contain-uncon</t>
        </is>
      </c>
      <c r="J110" s="18" t="inlineStr">
        <is>
          <t>Planned</t>
        </is>
      </c>
      <c r="K110" s="18" t="n"/>
      <c r="L110" s="18" t="n"/>
      <c r="M110" s="20" t="n"/>
    </row>
    <row r="111" ht="15" customHeight="1" s="16">
      <c r="A111" s="18" t="n">
        <v>110</v>
      </c>
      <c r="B111" s="18">
        <f>INT((A111-1)/3)+1</f>
        <v/>
      </c>
      <c r="C111" s="19" t="n">
        <v>37</v>
      </c>
      <c r="D111" s="18" t="inlineStr">
        <is>
          <t>The Way Is Always Uncontrived</t>
        </is>
      </c>
      <c r="E111" s="18" t="inlineStr">
        <is>
          <t>Discussion 1</t>
        </is>
      </c>
      <c r="F111" s="18">
        <f>TEXT(G111,"ddd")</f>
        <v/>
      </c>
      <c r="G111" s="20">
        <f>Settings!$B$4+(B111-1)*Settings!$B$11+INDEX(Settings!$B$7:$B$9,MATCH(E111,Settings!$A$7:$A$9,0))</f>
        <v/>
      </c>
      <c r="H111" s="21">
        <f>G111-G110</f>
        <v/>
      </c>
      <c r="I111" s="22" t="inlineStr">
        <is>
          <t>arredondo-04-24-24-tao-te-ching-chaps-34-37-universal-great-image-contain-uncon</t>
        </is>
      </c>
      <c r="J111" s="18" t="inlineStr">
        <is>
          <t>Planned</t>
        </is>
      </c>
      <c r="K111" s="18" t="n"/>
      <c r="L111" s="18" t="n"/>
      <c r="M111" s="20" t="n"/>
    </row>
    <row r="112" ht="15" customHeight="1" s="16">
      <c r="A112" s="18" t="n">
        <v>111</v>
      </c>
      <c r="B112" s="18">
        <f>INT((A112-1)/3)+1</f>
        <v/>
      </c>
      <c r="C112" s="19" t="n">
        <v>37</v>
      </c>
      <c r="D112" s="18" t="inlineStr">
        <is>
          <t>The Way Is Always Uncontrived</t>
        </is>
      </c>
      <c r="E112" s="18" t="inlineStr">
        <is>
          <t>Discussion 2</t>
        </is>
      </c>
      <c r="F112" s="18">
        <f>TEXT(G112,"ddd")</f>
        <v/>
      </c>
      <c r="G112" s="20">
        <f>Settings!$B$4+(B112-1)*Settings!$B$11+INDEX(Settings!$B$7:$B$9,MATCH(E112,Settings!$A$7:$A$9,0))</f>
        <v/>
      </c>
      <c r="H112" s="21">
        <f>G112-G111</f>
        <v/>
      </c>
      <c r="I112" s="22" t="inlineStr">
        <is>
          <t>arredondo-04-24-24-tao-te-ching-chaps-34-37-universal-great-image-contain-uncon</t>
        </is>
      </c>
      <c r="J112" s="18" t="inlineStr">
        <is>
          <t>Planned</t>
        </is>
      </c>
      <c r="K112" s="18" t="n"/>
      <c r="L112" s="18" t="n"/>
      <c r="M112" s="20" t="n"/>
    </row>
    <row r="113" ht="15" customHeight="1" s="16">
      <c r="A113" s="18" t="n">
        <v>112</v>
      </c>
      <c r="B113" s="18">
        <f>INT((A113-1)/3)+1</f>
        <v/>
      </c>
      <c r="C113" s="19" t="n">
        <v>38</v>
      </c>
      <c r="D113" s="18" t="inlineStr">
        <is>
          <t>Higher Virtue Is Not Ingratiating</t>
        </is>
      </c>
      <c r="E113" s="18" t="inlineStr">
        <is>
          <t>Reading</t>
        </is>
      </c>
      <c r="F113" s="18">
        <f>TEXT(G113,"ddd")</f>
        <v/>
      </c>
      <c r="G113" s="20">
        <f>Settings!$B$4+(B113-1)*Settings!$B$11+INDEX(Settings!$B$7:$B$9,MATCH(E113,Settings!$A$7:$A$9,0))</f>
        <v/>
      </c>
      <c r="H113" s="21">
        <f>G113-G112</f>
        <v/>
      </c>
      <c r="I113" s="22" t="inlineStr">
        <is>
          <t>arredondo-04-25-24-tao-te-ching-chaps-38-40-not-ingratiating-attaining-unity-mo</t>
        </is>
      </c>
      <c r="J113" s="18" t="inlineStr">
        <is>
          <t>Planned</t>
        </is>
      </c>
      <c r="K113" s="18" t="n"/>
      <c r="L113" s="18" t="n"/>
      <c r="M113" s="20" t="n"/>
    </row>
    <row r="114" ht="15" customHeight="1" s="16">
      <c r="A114" s="18" t="n">
        <v>113</v>
      </c>
      <c r="B114" s="18">
        <f>INT((A114-1)/3)+1</f>
        <v/>
      </c>
      <c r="C114" s="19" t="n">
        <v>38</v>
      </c>
      <c r="D114" s="18" t="inlineStr">
        <is>
          <t>Higher Virtue Is Not Ingratiating</t>
        </is>
      </c>
      <c r="E114" s="18" t="inlineStr">
        <is>
          <t>Discussion 1</t>
        </is>
      </c>
      <c r="F114" s="18">
        <f>TEXT(G114,"ddd")</f>
        <v/>
      </c>
      <c r="G114" s="20">
        <f>Settings!$B$4+(B114-1)*Settings!$B$11+INDEX(Settings!$B$7:$B$9,MATCH(E114,Settings!$A$7:$A$9,0))</f>
        <v/>
      </c>
      <c r="H114" s="21">
        <f>G114-G113</f>
        <v/>
      </c>
      <c r="I114" s="22" t="inlineStr">
        <is>
          <t>arredondo-04-25-24-tao-te-ching-chaps-38-40-not-ingratiating-attaining-unity-mo</t>
        </is>
      </c>
      <c r="J114" s="18" t="inlineStr">
        <is>
          <t>Planned</t>
        </is>
      </c>
      <c r="K114" s="18" t="n"/>
      <c r="L114" s="18" t="n"/>
      <c r="M114" s="20" t="n"/>
    </row>
    <row r="115" ht="15" customHeight="1" s="16">
      <c r="A115" s="18" t="n">
        <v>114</v>
      </c>
      <c r="B115" s="18">
        <f>INT((A115-1)/3)+1</f>
        <v/>
      </c>
      <c r="C115" s="19" t="n">
        <v>38</v>
      </c>
      <c r="D115" s="18" t="inlineStr">
        <is>
          <t>Higher Virtue Is Not Ingratiating</t>
        </is>
      </c>
      <c r="E115" s="18" t="inlineStr">
        <is>
          <t>Discussion 2</t>
        </is>
      </c>
      <c r="F115" s="18">
        <f>TEXT(G115,"ddd")</f>
        <v/>
      </c>
      <c r="G115" s="20">
        <f>Settings!$B$4+(B115-1)*Settings!$B$11+INDEX(Settings!$B$7:$B$9,MATCH(E115,Settings!$A$7:$A$9,0))</f>
        <v/>
      </c>
      <c r="H115" s="21">
        <f>G115-G114</f>
        <v/>
      </c>
      <c r="I115" s="22" t="inlineStr">
        <is>
          <t>arredondo-04-25-24-tao-te-ching-chaps-38-40-not-ingratiating-attaining-unity-mo</t>
        </is>
      </c>
      <c r="J115" s="18" t="inlineStr">
        <is>
          <t>Planned</t>
        </is>
      </c>
      <c r="K115" s="18" t="n"/>
      <c r="L115" s="18" t="n"/>
      <c r="M115" s="20" t="n"/>
    </row>
    <row r="116" ht="15" customHeight="1" s="16">
      <c r="A116" s="18" t="n">
        <v>115</v>
      </c>
      <c r="B116" s="18">
        <f>INT((A116-1)/3)+1</f>
        <v/>
      </c>
      <c r="C116" s="19" t="n">
        <v>39</v>
      </c>
      <c r="D116" s="18" t="inlineStr">
        <is>
          <t>Ancient Attainment of Unity</t>
        </is>
      </c>
      <c r="E116" s="18" t="inlineStr">
        <is>
          <t>Reading</t>
        </is>
      </c>
      <c r="F116" s="18">
        <f>TEXT(G116,"ddd")</f>
        <v/>
      </c>
      <c r="G116" s="20">
        <f>Settings!$B$4+(B116-1)*Settings!$B$11+INDEX(Settings!$B$7:$B$9,MATCH(E116,Settings!$A$7:$A$9,0))</f>
        <v/>
      </c>
      <c r="H116" s="21">
        <f>G116-G115</f>
        <v/>
      </c>
      <c r="I116" s="22" t="inlineStr">
        <is>
          <t>arredondo-04-25-24-tao-te-ching-chaps-38-40-not-ingratiating-attaining-unity-mo</t>
        </is>
      </c>
      <c r="J116" s="18" t="inlineStr">
        <is>
          <t>Planned</t>
        </is>
      </c>
      <c r="K116" s="18" t="n"/>
      <c r="L116" s="18" t="n"/>
      <c r="M116" s="20" t="n"/>
    </row>
    <row r="117" ht="15" customHeight="1" s="16">
      <c r="A117" s="18" t="n">
        <v>116</v>
      </c>
      <c r="B117" s="18">
        <f>INT((A117-1)/3)+1</f>
        <v/>
      </c>
      <c r="C117" s="19" t="n">
        <v>39</v>
      </c>
      <c r="D117" s="18" t="inlineStr">
        <is>
          <t>Ancient Attainment of Unity</t>
        </is>
      </c>
      <c r="E117" s="18" t="inlineStr">
        <is>
          <t>Discussion 1</t>
        </is>
      </c>
      <c r="F117" s="18">
        <f>TEXT(G117,"ddd")</f>
        <v/>
      </c>
      <c r="G117" s="20">
        <f>Settings!$B$4+(B117-1)*Settings!$B$11+INDEX(Settings!$B$7:$B$9,MATCH(E117,Settings!$A$7:$A$9,0))</f>
        <v/>
      </c>
      <c r="H117" s="21">
        <f>G117-G116</f>
        <v/>
      </c>
      <c r="I117" s="22" t="inlineStr">
        <is>
          <t>arredondo-04-25-24-tao-te-ching-chaps-38-40-not-ingratiating-attaining-unity-mo</t>
        </is>
      </c>
      <c r="J117" s="18" t="inlineStr">
        <is>
          <t>Planned</t>
        </is>
      </c>
      <c r="K117" s="18" t="n"/>
      <c r="L117" s="18" t="n"/>
      <c r="M117" s="20" t="n"/>
    </row>
    <row r="118" ht="15" customHeight="1" s="16">
      <c r="A118" s="18" t="n">
        <v>117</v>
      </c>
      <c r="B118" s="18">
        <f>INT((A118-1)/3)+1</f>
        <v/>
      </c>
      <c r="C118" s="19" t="n">
        <v>39</v>
      </c>
      <c r="D118" s="18" t="inlineStr">
        <is>
          <t>Ancient Attainment of Unity</t>
        </is>
      </c>
      <c r="E118" s="18" t="inlineStr">
        <is>
          <t>Discussion 2</t>
        </is>
      </c>
      <c r="F118" s="18">
        <f>TEXT(G118,"ddd")</f>
        <v/>
      </c>
      <c r="G118" s="20">
        <f>Settings!$B$4+(B118-1)*Settings!$B$11+INDEX(Settings!$B$7:$B$9,MATCH(E118,Settings!$A$7:$A$9,0))</f>
        <v/>
      </c>
      <c r="H118" s="21">
        <f>G118-G117</f>
        <v/>
      </c>
      <c r="I118" s="22" t="inlineStr">
        <is>
          <t>arredondo-04-25-24-tao-te-ching-chaps-38-40-not-ingratiating-attaining-unity-mo</t>
        </is>
      </c>
      <c r="J118" s="18" t="inlineStr">
        <is>
          <t>Planned</t>
        </is>
      </c>
      <c r="K118" s="18" t="n"/>
      <c r="L118" s="18" t="n"/>
      <c r="M118" s="20" t="n"/>
    </row>
    <row r="119" ht="15" customHeight="1" s="16">
      <c r="A119" s="18" t="n">
        <v>118</v>
      </c>
      <c r="B119" s="18">
        <f>INT((A119-1)/3)+1</f>
        <v/>
      </c>
      <c r="C119" s="19" t="n">
        <v>40</v>
      </c>
      <c r="D119" s="18" t="inlineStr">
        <is>
          <t>Return Is the Movement of the Way</t>
        </is>
      </c>
      <c r="E119" s="18" t="inlineStr">
        <is>
          <t>Reading</t>
        </is>
      </c>
      <c r="F119" s="18">
        <f>TEXT(G119,"ddd")</f>
        <v/>
      </c>
      <c r="G119" s="20">
        <f>Settings!$B$4+(B119-1)*Settings!$B$11+INDEX(Settings!$B$7:$B$9,MATCH(E119,Settings!$A$7:$A$9,0))</f>
        <v/>
      </c>
      <c r="H119" s="21">
        <f>G119-G118</f>
        <v/>
      </c>
      <c r="I119" s="22" t="inlineStr">
        <is>
          <t>arredondo-04-25-24-tao-te-ching-chaps-38-40-not-ingratiating-attaining-unity-mo</t>
        </is>
      </c>
      <c r="J119" s="18" t="inlineStr">
        <is>
          <t>Planned</t>
        </is>
      </c>
      <c r="K119" s="18" t="n"/>
      <c r="L119" s="18" t="n"/>
      <c r="M119" s="20" t="n"/>
    </row>
    <row r="120" ht="15" customHeight="1" s="16">
      <c r="A120" s="18" t="n">
        <v>119</v>
      </c>
      <c r="B120" s="18">
        <f>INT((A120-1)/3)+1</f>
        <v/>
      </c>
      <c r="C120" s="19" t="n">
        <v>40</v>
      </c>
      <c r="D120" s="18" t="inlineStr">
        <is>
          <t>Return Is the Movement of the Way</t>
        </is>
      </c>
      <c r="E120" s="18" t="inlineStr">
        <is>
          <t>Discussion 1</t>
        </is>
      </c>
      <c r="F120" s="18">
        <f>TEXT(G120,"ddd")</f>
        <v/>
      </c>
      <c r="G120" s="20">
        <f>Settings!$B$4+(B120-1)*Settings!$B$11+INDEX(Settings!$B$7:$B$9,MATCH(E120,Settings!$A$7:$A$9,0))</f>
        <v/>
      </c>
      <c r="H120" s="21">
        <f>G120-G119</f>
        <v/>
      </c>
      <c r="I120" s="22" t="inlineStr">
        <is>
          <t>arredondo-04-25-24-tao-te-ching-chaps-38-40-not-ingratiating-attaining-unity-mo</t>
        </is>
      </c>
      <c r="J120" s="18" t="inlineStr">
        <is>
          <t>Planned</t>
        </is>
      </c>
      <c r="K120" s="18" t="n"/>
      <c r="L120" s="18" t="n"/>
      <c r="M120" s="20" t="n"/>
    </row>
    <row r="121" ht="15" customHeight="1" s="16">
      <c r="A121" s="18" t="n">
        <v>120</v>
      </c>
      <c r="B121" s="18">
        <f>INT((A121-1)/3)+1</f>
        <v/>
      </c>
      <c r="C121" s="19" t="n">
        <v>40</v>
      </c>
      <c r="D121" s="18" t="inlineStr">
        <is>
          <t>Return Is the Movement of the Way</t>
        </is>
      </c>
      <c r="E121" s="18" t="inlineStr">
        <is>
          <t>Discussion 2</t>
        </is>
      </c>
      <c r="F121" s="18">
        <f>TEXT(G121,"ddd")</f>
        <v/>
      </c>
      <c r="G121" s="20">
        <f>Settings!$B$4+(B121-1)*Settings!$B$11+INDEX(Settings!$B$7:$B$9,MATCH(E121,Settings!$A$7:$A$9,0))</f>
        <v/>
      </c>
      <c r="H121" s="21">
        <f>G121-G120</f>
        <v/>
      </c>
      <c r="I121" s="22" t="inlineStr">
        <is>
          <t>arredondo-04-25-24-tao-te-ching-chaps-38-40-not-ingratiating-attaining-unity-mo</t>
        </is>
      </c>
      <c r="J121" s="18" t="inlineStr">
        <is>
          <t>Planned</t>
        </is>
      </c>
      <c r="K121" s="18" t="n"/>
      <c r="L121" s="18" t="n"/>
      <c r="M121" s="20" t="n"/>
    </row>
    <row r="122" ht="15" customHeight="1" s="16">
      <c r="A122" s="18" t="n">
        <v>121</v>
      </c>
      <c r="B122" s="18">
        <f>INT((A122-1)/3)+1</f>
        <v/>
      </c>
      <c r="C122" s="19" t="n">
        <v>41</v>
      </c>
      <c r="D122" s="18" t="inlineStr">
        <is>
          <t>When Superior People Hear of the Way</t>
        </is>
      </c>
      <c r="E122" s="18" t="inlineStr">
        <is>
          <t>Reading</t>
        </is>
      </c>
      <c r="F122" s="18">
        <f>TEXT(G122,"ddd")</f>
        <v/>
      </c>
      <c r="G122" s="20">
        <f>Settings!$B$4+(B122-1)*Settings!$B$11+INDEX(Settings!$B$7:$B$9,MATCH(E122,Settings!$A$7:$A$9,0))</f>
        <v/>
      </c>
      <c r="H122" s="21">
        <f>G122-G121</f>
        <v/>
      </c>
      <c r="I122" s="22" t="inlineStr">
        <is>
          <t>arredondo-04-27-24-tao-te-ching-chaps-41-43-when-superior-people-way-produces-o</t>
        </is>
      </c>
      <c r="J122" s="18" t="inlineStr">
        <is>
          <t>Planned</t>
        </is>
      </c>
      <c r="K122" s="18" t="n"/>
      <c r="L122" s="18" t="n"/>
      <c r="M122" s="20" t="n"/>
    </row>
    <row r="123" ht="15" customHeight="1" s="16">
      <c r="A123" s="18" t="n">
        <v>122</v>
      </c>
      <c r="B123" s="18">
        <f>INT((A123-1)/3)+1</f>
        <v/>
      </c>
      <c r="C123" s="19" t="n">
        <v>41</v>
      </c>
      <c r="D123" s="18" t="inlineStr">
        <is>
          <t>When Superior People Hear of the Way</t>
        </is>
      </c>
      <c r="E123" s="18" t="inlineStr">
        <is>
          <t>Discussion 1</t>
        </is>
      </c>
      <c r="F123" s="18">
        <f>TEXT(G123,"ddd")</f>
        <v/>
      </c>
      <c r="G123" s="20">
        <f>Settings!$B$4+(B123-1)*Settings!$B$11+INDEX(Settings!$B$7:$B$9,MATCH(E123,Settings!$A$7:$A$9,0))</f>
        <v/>
      </c>
      <c r="H123" s="21">
        <f>G123-G122</f>
        <v/>
      </c>
      <c r="I123" s="22" t="inlineStr">
        <is>
          <t>arredondo-04-27-24-tao-te-ching-chaps-41-43-when-superior-people-way-produces-o</t>
        </is>
      </c>
      <c r="J123" s="18" t="inlineStr">
        <is>
          <t>Planned</t>
        </is>
      </c>
      <c r="K123" s="18" t="n"/>
      <c r="L123" s="18" t="n"/>
      <c r="M123" s="20" t="n"/>
    </row>
    <row r="124" ht="15" customHeight="1" s="16">
      <c r="A124" s="18" t="n">
        <v>123</v>
      </c>
      <c r="B124" s="18">
        <f>INT((A124-1)/3)+1</f>
        <v/>
      </c>
      <c r="C124" s="19" t="n">
        <v>41</v>
      </c>
      <c r="D124" s="18" t="inlineStr">
        <is>
          <t>When Superior People Hear of the Way</t>
        </is>
      </c>
      <c r="E124" s="18" t="inlineStr">
        <is>
          <t>Discussion 2</t>
        </is>
      </c>
      <c r="F124" s="18">
        <f>TEXT(G124,"ddd")</f>
        <v/>
      </c>
      <c r="G124" s="20">
        <f>Settings!$B$4+(B124-1)*Settings!$B$11+INDEX(Settings!$B$7:$B$9,MATCH(E124,Settings!$A$7:$A$9,0))</f>
        <v/>
      </c>
      <c r="H124" s="21">
        <f>G124-G123</f>
        <v/>
      </c>
      <c r="I124" s="22" t="inlineStr">
        <is>
          <t>arredondo-04-27-24-tao-te-ching-chaps-41-43-when-superior-people-way-produces-o</t>
        </is>
      </c>
      <c r="J124" s="18" t="inlineStr">
        <is>
          <t>Planned</t>
        </is>
      </c>
      <c r="K124" s="18" t="n"/>
      <c r="L124" s="18" t="n"/>
      <c r="M124" s="20" t="n"/>
    </row>
    <row r="125" ht="15" customHeight="1" s="16">
      <c r="A125" s="18" t="n">
        <v>124</v>
      </c>
      <c r="B125" s="18">
        <f>INT((A125-1)/3)+1</f>
        <v/>
      </c>
      <c r="C125" s="19" t="n">
        <v>42</v>
      </c>
      <c r="D125" s="18" t="inlineStr">
        <is>
          <t>The Way Produces One</t>
        </is>
      </c>
      <c r="E125" s="18" t="inlineStr">
        <is>
          <t>Reading</t>
        </is>
      </c>
      <c r="F125" s="18">
        <f>TEXT(G125,"ddd")</f>
        <v/>
      </c>
      <c r="G125" s="20">
        <f>Settings!$B$4+(B125-1)*Settings!$B$11+INDEX(Settings!$B$7:$B$9,MATCH(E125,Settings!$A$7:$A$9,0))</f>
        <v/>
      </c>
      <c r="H125" s="21">
        <f>G125-G124</f>
        <v/>
      </c>
      <c r="I125" s="22" t="inlineStr">
        <is>
          <t>arredondo-04-27-24-tao-te-ching-chaps-41-43-when-superior-people-way-produces-o</t>
        </is>
      </c>
      <c r="J125" s="18" t="inlineStr">
        <is>
          <t>Planned</t>
        </is>
      </c>
      <c r="K125" s="18" t="n"/>
      <c r="L125" s="18" t="n"/>
      <c r="M125" s="20" t="n"/>
    </row>
    <row r="126" ht="15" customHeight="1" s="16">
      <c r="A126" s="18" t="n">
        <v>125</v>
      </c>
      <c r="B126" s="18">
        <f>INT((A126-1)/3)+1</f>
        <v/>
      </c>
      <c r="C126" s="19" t="n">
        <v>42</v>
      </c>
      <c r="D126" s="18" t="inlineStr">
        <is>
          <t>The Way Produces One</t>
        </is>
      </c>
      <c r="E126" s="18" t="inlineStr">
        <is>
          <t>Discussion 1</t>
        </is>
      </c>
      <c r="F126" s="18">
        <f>TEXT(G126,"ddd")</f>
        <v/>
      </c>
      <c r="G126" s="20">
        <f>Settings!$B$4+(B126-1)*Settings!$B$11+INDEX(Settings!$B$7:$B$9,MATCH(E126,Settings!$A$7:$A$9,0))</f>
        <v/>
      </c>
      <c r="H126" s="21">
        <f>G126-G125</f>
        <v/>
      </c>
      <c r="I126" s="22" t="inlineStr">
        <is>
          <t>arredondo-04-27-24-tao-te-ching-chaps-41-43-when-superior-people-way-produces-o</t>
        </is>
      </c>
      <c r="J126" s="18" t="inlineStr">
        <is>
          <t>Planned</t>
        </is>
      </c>
      <c r="K126" s="18" t="n"/>
      <c r="L126" s="18" t="n"/>
      <c r="M126" s="20" t="n"/>
    </row>
    <row r="127" ht="15" customHeight="1" s="16">
      <c r="A127" s="18" t="n">
        <v>126</v>
      </c>
      <c r="B127" s="18">
        <f>INT((A127-1)/3)+1</f>
        <v/>
      </c>
      <c r="C127" s="19" t="n">
        <v>42</v>
      </c>
      <c r="D127" s="18" t="inlineStr">
        <is>
          <t>The Way Produces One</t>
        </is>
      </c>
      <c r="E127" s="18" t="inlineStr">
        <is>
          <t>Discussion 2</t>
        </is>
      </c>
      <c r="F127" s="18">
        <f>TEXT(G127,"ddd")</f>
        <v/>
      </c>
      <c r="G127" s="20">
        <f>Settings!$B$4+(B127-1)*Settings!$B$11+INDEX(Settings!$B$7:$B$9,MATCH(E127,Settings!$A$7:$A$9,0))</f>
        <v/>
      </c>
      <c r="H127" s="21">
        <f>G127-G126</f>
        <v/>
      </c>
      <c r="I127" s="22" t="inlineStr">
        <is>
          <t>arredondo-04-27-24-tao-te-ching-chaps-41-43-when-superior-people-way-produces-o</t>
        </is>
      </c>
      <c r="J127" s="18" t="inlineStr">
        <is>
          <t>Planned</t>
        </is>
      </c>
      <c r="K127" s="18" t="n"/>
      <c r="L127" s="18" t="n"/>
      <c r="M127" s="20" t="n"/>
    </row>
    <row r="128" ht="15" customHeight="1" s="16">
      <c r="A128" s="18" t="n">
        <v>127</v>
      </c>
      <c r="B128" s="18">
        <f>INT((A128-1)/3)+1</f>
        <v/>
      </c>
      <c r="C128" s="19" t="n">
        <v>43</v>
      </c>
      <c r="D128" s="18" t="inlineStr">
        <is>
          <t>What Is Softest in the World</t>
        </is>
      </c>
      <c r="E128" s="18" t="inlineStr">
        <is>
          <t>Reading</t>
        </is>
      </c>
      <c r="F128" s="18">
        <f>TEXT(G128,"ddd")</f>
        <v/>
      </c>
      <c r="G128" s="20">
        <f>Settings!$B$4+(B128-1)*Settings!$B$11+INDEX(Settings!$B$7:$B$9,MATCH(E128,Settings!$A$7:$A$9,0))</f>
        <v/>
      </c>
      <c r="H128" s="21">
        <f>G128-G127</f>
        <v/>
      </c>
      <c r="I128" s="22" t="inlineStr">
        <is>
          <t>arredondo-04-27-24-tao-te-ching-chaps-41-43-when-superior-people-way-produces-o</t>
        </is>
      </c>
      <c r="J128" s="18" t="inlineStr">
        <is>
          <t>Planned</t>
        </is>
      </c>
      <c r="K128" s="18" t="n"/>
      <c r="L128" s="18" t="n"/>
      <c r="M128" s="20" t="n"/>
    </row>
    <row r="129" ht="15" customHeight="1" s="16">
      <c r="A129" s="18" t="n">
        <v>128</v>
      </c>
      <c r="B129" s="18">
        <f>INT((A129-1)/3)+1</f>
        <v/>
      </c>
      <c r="C129" s="19" t="n">
        <v>43</v>
      </c>
      <c r="D129" s="18" t="inlineStr">
        <is>
          <t>What Is Softest in the World</t>
        </is>
      </c>
      <c r="E129" s="18" t="inlineStr">
        <is>
          <t>Discussion 1</t>
        </is>
      </c>
      <c r="F129" s="18">
        <f>TEXT(G129,"ddd")</f>
        <v/>
      </c>
      <c r="G129" s="20">
        <f>Settings!$B$4+(B129-1)*Settings!$B$11+INDEX(Settings!$B$7:$B$9,MATCH(E129,Settings!$A$7:$A$9,0))</f>
        <v/>
      </c>
      <c r="H129" s="21">
        <f>G129-G128</f>
        <v/>
      </c>
      <c r="I129" s="22" t="inlineStr">
        <is>
          <t>arredondo-04-27-24-tao-te-ching-chaps-41-43-when-superior-people-way-produces-o</t>
        </is>
      </c>
      <c r="J129" s="18" t="inlineStr">
        <is>
          <t>Planned</t>
        </is>
      </c>
      <c r="K129" s="18" t="n"/>
      <c r="L129" s="18" t="n"/>
      <c r="M129" s="20" t="n"/>
    </row>
    <row r="130" ht="15" customHeight="1" s="16">
      <c r="A130" s="18" t="n">
        <v>129</v>
      </c>
      <c r="B130" s="18">
        <f>INT((A130-1)/3)+1</f>
        <v/>
      </c>
      <c r="C130" s="19" t="n">
        <v>43</v>
      </c>
      <c r="D130" s="18" t="inlineStr">
        <is>
          <t>What Is Softest in the World</t>
        </is>
      </c>
      <c r="E130" s="18" t="inlineStr">
        <is>
          <t>Discussion 2</t>
        </is>
      </c>
      <c r="F130" s="18">
        <f>TEXT(G130,"ddd")</f>
        <v/>
      </c>
      <c r="G130" s="20">
        <f>Settings!$B$4+(B130-1)*Settings!$B$11+INDEX(Settings!$B$7:$B$9,MATCH(E130,Settings!$A$7:$A$9,0))</f>
        <v/>
      </c>
      <c r="H130" s="21">
        <f>G130-G129</f>
        <v/>
      </c>
      <c r="I130" s="22" t="inlineStr">
        <is>
          <t>arredondo-04-27-24-tao-te-ching-chaps-41-43-when-superior-people-way-produces-o</t>
        </is>
      </c>
      <c r="J130" s="18" t="inlineStr">
        <is>
          <t>Planned</t>
        </is>
      </c>
      <c r="K130" s="18" t="n"/>
      <c r="L130" s="18" t="n"/>
      <c r="M130" s="20" t="n"/>
    </row>
    <row r="131" ht="15" customHeight="1" s="16">
      <c r="A131" s="18" t="n">
        <v>130</v>
      </c>
      <c r="B131" s="18">
        <f>INT((A131-1)/3)+1</f>
        <v/>
      </c>
      <c r="C131" s="19" t="n">
        <v>44</v>
      </c>
      <c r="D131" s="18" t="inlineStr">
        <is>
          <t>Name or Body</t>
        </is>
      </c>
      <c r="E131" s="18" t="inlineStr">
        <is>
          <t>Reading</t>
        </is>
      </c>
      <c r="F131" s="18">
        <f>TEXT(G131,"ddd")</f>
        <v/>
      </c>
      <c r="G131" s="20">
        <f>Settings!$B$4+(B131-1)*Settings!$B$11+INDEX(Settings!$B$7:$B$9,MATCH(E131,Settings!$A$7:$A$9,0))</f>
        <v/>
      </c>
      <c r="H131" s="21">
        <f>G131-G130</f>
        <v/>
      </c>
      <c r="I131" s="22" t="inlineStr">
        <is>
          <t>arredondo-05-01-24-tao-te-ching-chaps-44-47-name-or-body-great-completeness-wor</t>
        </is>
      </c>
      <c r="J131" s="18" t="inlineStr">
        <is>
          <t>Planned</t>
        </is>
      </c>
      <c r="K131" s="18" t="n"/>
      <c r="L131" s="18" t="n"/>
      <c r="M131" s="20" t="n"/>
    </row>
    <row r="132" ht="15" customHeight="1" s="16">
      <c r="A132" s="18" t="n">
        <v>131</v>
      </c>
      <c r="B132" s="18">
        <f>INT((A132-1)/3)+1</f>
        <v/>
      </c>
      <c r="C132" s="19" t="n">
        <v>44</v>
      </c>
      <c r="D132" s="18" t="inlineStr">
        <is>
          <t>Name or Body</t>
        </is>
      </c>
      <c r="E132" s="18" t="inlineStr">
        <is>
          <t>Discussion 1</t>
        </is>
      </c>
      <c r="F132" s="18">
        <f>TEXT(G132,"ddd")</f>
        <v/>
      </c>
      <c r="G132" s="20">
        <f>Settings!$B$4+(B132-1)*Settings!$B$11+INDEX(Settings!$B$7:$B$9,MATCH(E132,Settings!$A$7:$A$9,0))</f>
        <v/>
      </c>
      <c r="H132" s="21">
        <f>G132-G131</f>
        <v/>
      </c>
      <c r="I132" s="22" t="inlineStr">
        <is>
          <t>arredondo-05-01-24-tao-te-ching-chaps-44-47-name-or-body-great-completeness-wor</t>
        </is>
      </c>
      <c r="J132" s="18" t="inlineStr">
        <is>
          <t>Planned</t>
        </is>
      </c>
      <c r="K132" s="18" t="n"/>
      <c r="L132" s="18" t="n"/>
      <c r="M132" s="20" t="n"/>
    </row>
    <row r="133" ht="15" customHeight="1" s="16">
      <c r="A133" s="18" t="n">
        <v>132</v>
      </c>
      <c r="B133" s="18">
        <f>INT((A133-1)/3)+1</f>
        <v/>
      </c>
      <c r="C133" s="19" t="n">
        <v>44</v>
      </c>
      <c r="D133" s="18" t="inlineStr">
        <is>
          <t>Name or Body</t>
        </is>
      </c>
      <c r="E133" s="18" t="inlineStr">
        <is>
          <t>Discussion 2</t>
        </is>
      </c>
      <c r="F133" s="18">
        <f>TEXT(G133,"ddd")</f>
        <v/>
      </c>
      <c r="G133" s="20">
        <f>Settings!$B$4+(B133-1)*Settings!$B$11+INDEX(Settings!$B$7:$B$9,MATCH(E133,Settings!$A$7:$A$9,0))</f>
        <v/>
      </c>
      <c r="H133" s="21">
        <f>G133-G132</f>
        <v/>
      </c>
      <c r="I133" s="22" t="inlineStr">
        <is>
          <t>arredondo-05-01-24-tao-te-ching-chaps-44-47-name-or-body-great-completeness-wor</t>
        </is>
      </c>
      <c r="J133" s="18" t="inlineStr">
        <is>
          <t>Planned</t>
        </is>
      </c>
      <c r="K133" s="18" t="n"/>
      <c r="L133" s="18" t="n"/>
      <c r="M133" s="20" t="n"/>
    </row>
    <row r="134" ht="15" customHeight="1" s="16">
      <c r="A134" s="18" t="n">
        <v>133</v>
      </c>
      <c r="B134" s="18">
        <f>INT((A134-1)/3)+1</f>
        <v/>
      </c>
      <c r="C134" s="19" t="n">
        <v>45</v>
      </c>
      <c r="D134" s="18" t="inlineStr">
        <is>
          <t>Great Completeness Seems Incomplete</t>
        </is>
      </c>
      <c r="E134" s="18" t="inlineStr">
        <is>
          <t>Reading</t>
        </is>
      </c>
      <c r="F134" s="18">
        <f>TEXT(G134,"ddd")</f>
        <v/>
      </c>
      <c r="G134" s="20">
        <f>Settings!$B$4+(B134-1)*Settings!$B$11+INDEX(Settings!$B$7:$B$9,MATCH(E134,Settings!$A$7:$A$9,0))</f>
        <v/>
      </c>
      <c r="H134" s="21">
        <f>G134-G133</f>
        <v/>
      </c>
      <c r="I134" s="22" t="inlineStr">
        <is>
          <t>arredondo-05-01-24-tao-te-ching-chaps-44-47-name-or-body-great-completeness-wor</t>
        </is>
      </c>
      <c r="J134" s="18" t="inlineStr">
        <is>
          <t>Planned</t>
        </is>
      </c>
      <c r="K134" s="18" t="n"/>
      <c r="L134" s="18" t="n"/>
      <c r="M134" s="20" t="n"/>
    </row>
    <row r="135" ht="15" customHeight="1" s="16">
      <c r="A135" s="18" t="n">
        <v>134</v>
      </c>
      <c r="B135" s="18">
        <f>INT((A135-1)/3)+1</f>
        <v/>
      </c>
      <c r="C135" s="19" t="n">
        <v>45</v>
      </c>
      <c r="D135" s="18" t="inlineStr">
        <is>
          <t>Great Completeness Seems Incomplete</t>
        </is>
      </c>
      <c r="E135" s="18" t="inlineStr">
        <is>
          <t>Discussion 1</t>
        </is>
      </c>
      <c r="F135" s="18">
        <f>TEXT(G135,"ddd")</f>
        <v/>
      </c>
      <c r="G135" s="20">
        <f>Settings!$B$4+(B135-1)*Settings!$B$11+INDEX(Settings!$B$7:$B$9,MATCH(E135,Settings!$A$7:$A$9,0))</f>
        <v/>
      </c>
      <c r="H135" s="21">
        <f>G135-G134</f>
        <v/>
      </c>
      <c r="I135" s="22" t="inlineStr">
        <is>
          <t>arredondo-05-01-24-tao-te-ching-chaps-44-47-name-or-body-great-completeness-wor</t>
        </is>
      </c>
      <c r="J135" s="18" t="inlineStr">
        <is>
          <t>Planned</t>
        </is>
      </c>
      <c r="K135" s="18" t="n"/>
      <c r="L135" s="18" t="n"/>
      <c r="M135" s="20" t="n"/>
    </row>
    <row r="136" ht="15" customHeight="1" s="16">
      <c r="A136" s="18" t="n">
        <v>135</v>
      </c>
      <c r="B136" s="18">
        <f>INT((A136-1)/3)+1</f>
        <v/>
      </c>
      <c r="C136" s="19" t="n">
        <v>45</v>
      </c>
      <c r="D136" s="18" t="inlineStr">
        <is>
          <t>Great Completeness Seems Incomplete</t>
        </is>
      </c>
      <c r="E136" s="18" t="inlineStr">
        <is>
          <t>Discussion 2</t>
        </is>
      </c>
      <c r="F136" s="18">
        <f>TEXT(G136,"ddd")</f>
        <v/>
      </c>
      <c r="G136" s="20">
        <f>Settings!$B$4+(B136-1)*Settings!$B$11+INDEX(Settings!$B$7:$B$9,MATCH(E136,Settings!$A$7:$A$9,0))</f>
        <v/>
      </c>
      <c r="H136" s="21">
        <f>G136-G135</f>
        <v/>
      </c>
      <c r="I136" s="22" t="inlineStr">
        <is>
          <t>arredondo-05-01-24-tao-te-ching-chaps-44-47-name-or-body-great-completeness-wor</t>
        </is>
      </c>
      <c r="J136" s="18" t="inlineStr">
        <is>
          <t>Planned</t>
        </is>
      </c>
      <c r="K136" s="18" t="n"/>
      <c r="L136" s="18" t="n"/>
      <c r="M136" s="20" t="n"/>
    </row>
    <row r="137" ht="15" customHeight="1" s="16">
      <c r="A137" s="18" t="n">
        <v>136</v>
      </c>
      <c r="B137" s="18">
        <f>INT((A137-1)/3)+1</f>
        <v/>
      </c>
      <c r="C137" s="19" t="n">
        <v>46</v>
      </c>
      <c r="D137" s="18" t="inlineStr">
        <is>
          <t>When the World Has the Way</t>
        </is>
      </c>
      <c r="E137" s="18" t="inlineStr">
        <is>
          <t>Reading</t>
        </is>
      </c>
      <c r="F137" s="18">
        <f>TEXT(G137,"ddd")</f>
        <v/>
      </c>
      <c r="G137" s="20">
        <f>Settings!$B$4+(B137-1)*Settings!$B$11+INDEX(Settings!$B$7:$B$9,MATCH(E137,Settings!$A$7:$A$9,0))</f>
        <v/>
      </c>
      <c r="H137" s="21">
        <f>G137-G136</f>
        <v/>
      </c>
      <c r="I137" s="22" t="inlineStr">
        <is>
          <t>arredondo-05-01-24-tao-te-ching-chaps-44-47-name-or-body-great-completeness-wor</t>
        </is>
      </c>
      <c r="J137" s="18" t="inlineStr">
        <is>
          <t>Planned</t>
        </is>
      </c>
      <c r="K137" s="18" t="n"/>
      <c r="L137" s="18" t="n"/>
      <c r="M137" s="20" t="n"/>
    </row>
    <row r="138" ht="15" customHeight="1" s="16">
      <c r="A138" s="18" t="n">
        <v>137</v>
      </c>
      <c r="B138" s="18">
        <f>INT((A138-1)/3)+1</f>
        <v/>
      </c>
      <c r="C138" s="19" t="n">
        <v>46</v>
      </c>
      <c r="D138" s="18" t="inlineStr">
        <is>
          <t>When the World Has the Way</t>
        </is>
      </c>
      <c r="E138" s="18" t="inlineStr">
        <is>
          <t>Discussion 1</t>
        </is>
      </c>
      <c r="F138" s="18">
        <f>TEXT(G138,"ddd")</f>
        <v/>
      </c>
      <c r="G138" s="20">
        <f>Settings!$B$4+(B138-1)*Settings!$B$11+INDEX(Settings!$B$7:$B$9,MATCH(E138,Settings!$A$7:$A$9,0))</f>
        <v/>
      </c>
      <c r="H138" s="21">
        <f>G138-G137</f>
        <v/>
      </c>
      <c r="I138" s="22" t="inlineStr">
        <is>
          <t>arredondo-05-01-24-tao-te-ching-chaps-44-47-name-or-body-great-completeness-wor</t>
        </is>
      </c>
      <c r="J138" s="18" t="inlineStr">
        <is>
          <t>Planned</t>
        </is>
      </c>
      <c r="K138" s="18" t="n"/>
      <c r="L138" s="18" t="n"/>
      <c r="M138" s="20" t="n"/>
    </row>
    <row r="139" ht="15" customHeight="1" s="16">
      <c r="A139" s="18" t="n">
        <v>138</v>
      </c>
      <c r="B139" s="18">
        <f>INT((A139-1)/3)+1</f>
        <v/>
      </c>
      <c r="C139" s="19" t="n">
        <v>46</v>
      </c>
      <c r="D139" s="18" t="inlineStr">
        <is>
          <t>When the World Has the Way</t>
        </is>
      </c>
      <c r="E139" s="18" t="inlineStr">
        <is>
          <t>Discussion 2</t>
        </is>
      </c>
      <c r="F139" s="18">
        <f>TEXT(G139,"ddd")</f>
        <v/>
      </c>
      <c r="G139" s="20">
        <f>Settings!$B$4+(B139-1)*Settings!$B$11+INDEX(Settings!$B$7:$B$9,MATCH(E139,Settings!$A$7:$A$9,0))</f>
        <v/>
      </c>
      <c r="H139" s="21">
        <f>G139-G138</f>
        <v/>
      </c>
      <c r="I139" s="22" t="inlineStr">
        <is>
          <t>arredondo-05-01-24-tao-te-ching-chaps-44-47-name-or-body-great-completeness-wor</t>
        </is>
      </c>
      <c r="J139" s="18" t="inlineStr">
        <is>
          <t>Planned</t>
        </is>
      </c>
      <c r="K139" s="18" t="n"/>
      <c r="L139" s="18" t="n"/>
      <c r="M139" s="20" t="n"/>
    </row>
    <row r="140" ht="15" customHeight="1" s="16">
      <c r="A140" s="18" t="n">
        <v>139</v>
      </c>
      <c r="B140" s="18">
        <f>INT((A140-1)/3)+1</f>
        <v/>
      </c>
      <c r="C140" s="19" t="n">
        <v>47</v>
      </c>
      <c r="D140" s="18" t="inlineStr">
        <is>
          <t>Without Even Going out the Door</t>
        </is>
      </c>
      <c r="E140" s="18" t="inlineStr">
        <is>
          <t>Reading</t>
        </is>
      </c>
      <c r="F140" s="18">
        <f>TEXT(G140,"ddd")</f>
        <v/>
      </c>
      <c r="G140" s="20">
        <f>Settings!$B$4+(B140-1)*Settings!$B$11+INDEX(Settings!$B$7:$B$9,MATCH(E140,Settings!$A$7:$A$9,0))</f>
        <v/>
      </c>
      <c r="H140" s="21">
        <f>G140-G139</f>
        <v/>
      </c>
      <c r="I140" s="22" t="inlineStr">
        <is>
          <t>arredondo-05-01-24-tao-te-ching-chaps-44-47-name-or-body-great-completeness-wor</t>
        </is>
      </c>
      <c r="J140" s="18" t="inlineStr">
        <is>
          <t>Planned</t>
        </is>
      </c>
      <c r="K140" s="18" t="n"/>
      <c r="L140" s="18" t="n"/>
      <c r="M140" s="20" t="n"/>
    </row>
    <row r="141" ht="15" customHeight="1" s="16">
      <c r="A141" s="18" t="n">
        <v>140</v>
      </c>
      <c r="B141" s="18">
        <f>INT((A141-1)/3)+1</f>
        <v/>
      </c>
      <c r="C141" s="19" t="n">
        <v>47</v>
      </c>
      <c r="D141" s="18" t="inlineStr">
        <is>
          <t>Without Even Going out the Door</t>
        </is>
      </c>
      <c r="E141" s="18" t="inlineStr">
        <is>
          <t>Discussion 1</t>
        </is>
      </c>
      <c r="F141" s="18">
        <f>TEXT(G141,"ddd")</f>
        <v/>
      </c>
      <c r="G141" s="20">
        <f>Settings!$B$4+(B141-1)*Settings!$B$11+INDEX(Settings!$B$7:$B$9,MATCH(E141,Settings!$A$7:$A$9,0))</f>
        <v/>
      </c>
      <c r="H141" s="21">
        <f>G141-G140</f>
        <v/>
      </c>
      <c r="I141" s="22" t="inlineStr">
        <is>
          <t>arredondo-05-01-24-tao-te-ching-chaps-44-47-name-or-body-great-completeness-wor</t>
        </is>
      </c>
      <c r="J141" s="18" t="inlineStr">
        <is>
          <t>Planned</t>
        </is>
      </c>
      <c r="K141" s="18" t="n"/>
      <c r="L141" s="18" t="n"/>
      <c r="M141" s="20" t="n"/>
    </row>
    <row r="142" ht="15" customHeight="1" s="16">
      <c r="A142" s="18" t="n">
        <v>141</v>
      </c>
      <c r="B142" s="18">
        <f>INT((A142-1)/3)+1</f>
        <v/>
      </c>
      <c r="C142" s="19" t="n">
        <v>47</v>
      </c>
      <c r="D142" s="18" t="inlineStr">
        <is>
          <t>Without Even Going out the Door</t>
        </is>
      </c>
      <c r="E142" s="18" t="inlineStr">
        <is>
          <t>Discussion 2</t>
        </is>
      </c>
      <c r="F142" s="18">
        <f>TEXT(G142,"ddd")</f>
        <v/>
      </c>
      <c r="G142" s="20">
        <f>Settings!$B$4+(B142-1)*Settings!$B$11+INDEX(Settings!$B$7:$B$9,MATCH(E142,Settings!$A$7:$A$9,0))</f>
        <v/>
      </c>
      <c r="H142" s="21">
        <f>G142-G141</f>
        <v/>
      </c>
      <c r="I142" s="22" t="inlineStr">
        <is>
          <t>arredondo-05-01-24-tao-te-ching-chaps-44-47-name-or-body-great-completeness-wor</t>
        </is>
      </c>
      <c r="J142" s="18" t="inlineStr">
        <is>
          <t>Planned</t>
        </is>
      </c>
      <c r="K142" s="18" t="n"/>
      <c r="L142" s="18" t="n"/>
      <c r="M142" s="20" t="n"/>
    </row>
    <row r="143" ht="15" customHeight="1" s="16">
      <c r="A143" s="18" t="n">
        <v>142</v>
      </c>
      <c r="B143" s="18">
        <f>INT((A143-1)/3)+1</f>
        <v/>
      </c>
      <c r="C143" s="19" t="n">
        <v>48</v>
      </c>
      <c r="D143" s="18" t="inlineStr">
        <is>
          <t>For Learning You Gain Daily</t>
        </is>
      </c>
      <c r="E143" s="18" t="inlineStr">
        <is>
          <t>Reading</t>
        </is>
      </c>
      <c r="F143" s="18">
        <f>TEXT(G143,"ddd")</f>
        <v/>
      </c>
      <c r="G143" s="20">
        <f>Settings!$B$4+(B143-1)*Settings!$B$11+INDEX(Settings!$B$7:$B$9,MATCH(E143,Settings!$A$7:$A$9,0))</f>
        <v/>
      </c>
      <c r="H143" s="21">
        <f>G143-G142</f>
        <v/>
      </c>
      <c r="I143" s="22" t="inlineStr">
        <is>
          <t>arredondo-05-01-24-tao-te-ching-chaps-44-47-name-or-body-great-completeness-wor</t>
        </is>
      </c>
      <c r="J143" s="18" t="inlineStr">
        <is>
          <t>Planned</t>
        </is>
      </c>
      <c r="K143" s="18" t="n"/>
      <c r="L143" s="18" t="n"/>
      <c r="M143" s="20" t="n"/>
    </row>
    <row r="144" ht="15" customHeight="1" s="16">
      <c r="A144" s="18" t="n">
        <v>143</v>
      </c>
      <c r="B144" s="18">
        <f>INT((A144-1)/3)+1</f>
        <v/>
      </c>
      <c r="C144" s="19" t="n">
        <v>48</v>
      </c>
      <c r="D144" s="18" t="inlineStr">
        <is>
          <t>For Learning You Gain Daily</t>
        </is>
      </c>
      <c r="E144" s="18" t="inlineStr">
        <is>
          <t>Discussion 1</t>
        </is>
      </c>
      <c r="F144" s="18">
        <f>TEXT(G144,"ddd")</f>
        <v/>
      </c>
      <c r="G144" s="20">
        <f>Settings!$B$4+(B144-1)*Settings!$B$11+INDEX(Settings!$B$7:$B$9,MATCH(E144,Settings!$A$7:$A$9,0))</f>
        <v/>
      </c>
      <c r="H144" s="21">
        <f>G144-G143</f>
        <v/>
      </c>
      <c r="I144" s="22" t="inlineStr">
        <is>
          <t>arredondo-05-01-24-tao-te-ching-chaps-44-47-name-or-body-great-completeness-wor</t>
        </is>
      </c>
      <c r="J144" s="18" t="inlineStr">
        <is>
          <t>Planned</t>
        </is>
      </c>
      <c r="K144" s="18" t="n"/>
      <c r="L144" s="18" t="n"/>
      <c r="M144" s="20" t="n"/>
    </row>
    <row r="145" ht="15" customHeight="1" s="16">
      <c r="A145" s="18" t="n">
        <v>144</v>
      </c>
      <c r="B145" s="18">
        <f>INT((A145-1)/3)+1</f>
        <v/>
      </c>
      <c r="C145" s="19" t="n">
        <v>48</v>
      </c>
      <c r="D145" s="18" t="inlineStr">
        <is>
          <t>For Learning You Gain Daily</t>
        </is>
      </c>
      <c r="E145" s="18" t="inlineStr">
        <is>
          <t>Discussion 2</t>
        </is>
      </c>
      <c r="F145" s="18">
        <f>TEXT(G145,"ddd")</f>
        <v/>
      </c>
      <c r="G145" s="20">
        <f>Settings!$B$4+(B145-1)*Settings!$B$11+INDEX(Settings!$B$7:$B$9,MATCH(E145,Settings!$A$7:$A$9,0))</f>
        <v/>
      </c>
      <c r="H145" s="21">
        <f>G145-G144</f>
        <v/>
      </c>
      <c r="I145" s="22" t="inlineStr">
        <is>
          <t>arredondo-05-01-24-tao-te-ching-chaps-44-47-name-or-body-great-completeness-wor</t>
        </is>
      </c>
      <c r="J145" s="18" t="inlineStr">
        <is>
          <t>Planned</t>
        </is>
      </c>
      <c r="K145" s="18" t="n"/>
      <c r="L145" s="18" t="n"/>
      <c r="M145" s="20" t="n"/>
    </row>
    <row r="146" ht="15" customHeight="1" s="16">
      <c r="A146" s="18" t="n">
        <v>145</v>
      </c>
      <c r="B146" s="18">
        <f>INT((A146-1)/3)+1</f>
        <v/>
      </c>
      <c r="C146" s="19" t="n">
        <v>49</v>
      </c>
      <c r="D146" s="18" t="inlineStr">
        <is>
          <t>Sages Have No Fixed Mind</t>
        </is>
      </c>
      <c r="E146" s="18" t="inlineStr">
        <is>
          <t>Reading</t>
        </is>
      </c>
      <c r="F146" s="18">
        <f>TEXT(G146,"ddd")</f>
        <v/>
      </c>
      <c r="G146" s="20">
        <f>Settings!$B$4+(B146-1)*Settings!$B$11+INDEX(Settings!$B$7:$B$9,MATCH(E146,Settings!$A$7:$A$9,0))</f>
        <v/>
      </c>
      <c r="H146" s="21">
        <f>G146-G145</f>
        <v/>
      </c>
      <c r="I146" s="22" t="inlineStr">
        <is>
          <t>arredondo-05-03-24-tao-te-ching-chaps-48-50-gain-daily-sages-no-fixed-mind-from</t>
        </is>
      </c>
      <c r="J146" s="18" t="inlineStr">
        <is>
          <t>Planned</t>
        </is>
      </c>
      <c r="K146" s="18" t="n"/>
      <c r="L146" s="18" t="n"/>
      <c r="M146" s="20" t="n"/>
    </row>
    <row r="147" ht="15" customHeight="1" s="16">
      <c r="A147" s="18" t="n">
        <v>146</v>
      </c>
      <c r="B147" s="18">
        <f>INT((A147-1)/3)+1</f>
        <v/>
      </c>
      <c r="C147" s="19" t="n">
        <v>49</v>
      </c>
      <c r="D147" s="18" t="inlineStr">
        <is>
          <t>Sages Have No Fixed Mind</t>
        </is>
      </c>
      <c r="E147" s="18" t="inlineStr">
        <is>
          <t>Discussion 1</t>
        </is>
      </c>
      <c r="F147" s="18">
        <f>TEXT(G147,"ddd")</f>
        <v/>
      </c>
      <c r="G147" s="20">
        <f>Settings!$B$4+(B147-1)*Settings!$B$11+INDEX(Settings!$B$7:$B$9,MATCH(E147,Settings!$A$7:$A$9,0))</f>
        <v/>
      </c>
      <c r="H147" s="21">
        <f>G147-G146</f>
        <v/>
      </c>
      <c r="I147" s="22" t="inlineStr">
        <is>
          <t>arredondo-05-03-24-tao-te-ching-chaps-48-50-gain-daily-sages-no-fixed-mind-from</t>
        </is>
      </c>
      <c r="J147" s="18" t="inlineStr">
        <is>
          <t>Planned</t>
        </is>
      </c>
      <c r="K147" s="18" t="n"/>
      <c r="L147" s="18" t="n"/>
      <c r="M147" s="20" t="n"/>
    </row>
    <row r="148" ht="15" customHeight="1" s="16">
      <c r="A148" s="18" t="n">
        <v>147</v>
      </c>
      <c r="B148" s="18">
        <f>INT((A148-1)/3)+1</f>
        <v/>
      </c>
      <c r="C148" s="19" t="n">
        <v>49</v>
      </c>
      <c r="D148" s="18" t="inlineStr">
        <is>
          <t>Sages Have No Fixed Mind</t>
        </is>
      </c>
      <c r="E148" s="18" t="inlineStr">
        <is>
          <t>Discussion 2</t>
        </is>
      </c>
      <c r="F148" s="18">
        <f>TEXT(G148,"ddd")</f>
        <v/>
      </c>
      <c r="G148" s="20">
        <f>Settings!$B$4+(B148-1)*Settings!$B$11+INDEX(Settings!$B$7:$B$9,MATCH(E148,Settings!$A$7:$A$9,0))</f>
        <v/>
      </c>
      <c r="H148" s="21">
        <f>G148-G147</f>
        <v/>
      </c>
      <c r="I148" s="22" t="inlineStr">
        <is>
          <t>arredondo-05-03-24-tao-te-ching-chaps-48-50-gain-daily-sages-no-fixed-mind-from</t>
        </is>
      </c>
      <c r="J148" s="18" t="inlineStr">
        <is>
          <t>Planned</t>
        </is>
      </c>
      <c r="K148" s="18" t="n"/>
      <c r="L148" s="18" t="n"/>
      <c r="M148" s="20" t="n"/>
    </row>
    <row r="149" ht="15" customHeight="1" s="16">
      <c r="A149" s="18" t="n">
        <v>148</v>
      </c>
      <c r="B149" s="18">
        <f>INT((A149-1)/3)+1</f>
        <v/>
      </c>
      <c r="C149" s="19" t="n">
        <v>50</v>
      </c>
      <c r="D149" s="18" t="inlineStr">
        <is>
          <t>From Life into Death</t>
        </is>
      </c>
      <c r="E149" s="18" t="inlineStr">
        <is>
          <t>Reading</t>
        </is>
      </c>
      <c r="F149" s="18">
        <f>TEXT(G149,"ddd")</f>
        <v/>
      </c>
      <c r="G149" s="20">
        <f>Settings!$B$4+(B149-1)*Settings!$B$11+INDEX(Settings!$B$7:$B$9,MATCH(E149,Settings!$A$7:$A$9,0))</f>
        <v/>
      </c>
      <c r="H149" s="21">
        <f>G149-G148</f>
        <v/>
      </c>
      <c r="I149" s="22" t="inlineStr">
        <is>
          <t>arredondo-05-03-24-tao-te-ching-chaps-48-50-gain-daily-sages-no-fixed-mind-from</t>
        </is>
      </c>
      <c r="J149" s="18" t="inlineStr">
        <is>
          <t>Planned</t>
        </is>
      </c>
      <c r="K149" s="18" t="n"/>
      <c r="L149" s="18" t="n"/>
      <c r="M149" s="20" t="n"/>
    </row>
    <row r="150" ht="15" customHeight="1" s="16">
      <c r="A150" s="18" t="n">
        <v>149</v>
      </c>
      <c r="B150" s="18">
        <f>INT((A150-1)/3)+1</f>
        <v/>
      </c>
      <c r="C150" s="19" t="n">
        <v>50</v>
      </c>
      <c r="D150" s="18" t="inlineStr">
        <is>
          <t>From Life into Death</t>
        </is>
      </c>
      <c r="E150" s="18" t="inlineStr">
        <is>
          <t>Discussion 1</t>
        </is>
      </c>
      <c r="F150" s="18">
        <f>TEXT(G150,"ddd")</f>
        <v/>
      </c>
      <c r="G150" s="20">
        <f>Settings!$B$4+(B150-1)*Settings!$B$11+INDEX(Settings!$B$7:$B$9,MATCH(E150,Settings!$A$7:$A$9,0))</f>
        <v/>
      </c>
      <c r="H150" s="21">
        <f>G150-G149</f>
        <v/>
      </c>
      <c r="I150" s="22" t="inlineStr">
        <is>
          <t>arredondo-05-03-24-tao-te-ching-chaps-48-50-gain-daily-sages-no-fixed-mind-from</t>
        </is>
      </c>
      <c r="J150" s="18" t="inlineStr">
        <is>
          <t>Planned</t>
        </is>
      </c>
      <c r="K150" s="18" t="n"/>
      <c r="L150" s="18" t="n"/>
      <c r="M150" s="20" t="n"/>
    </row>
    <row r="151" ht="15" customHeight="1" s="16">
      <c r="A151" s="18" t="n">
        <v>150</v>
      </c>
      <c r="B151" s="18">
        <f>INT((A151-1)/3)+1</f>
        <v/>
      </c>
      <c r="C151" s="19" t="n">
        <v>50</v>
      </c>
      <c r="D151" s="18" t="inlineStr">
        <is>
          <t>From Life into Death</t>
        </is>
      </c>
      <c r="E151" s="18" t="inlineStr">
        <is>
          <t>Discussion 2</t>
        </is>
      </c>
      <c r="F151" s="18">
        <f>TEXT(G151,"ddd")</f>
        <v/>
      </c>
      <c r="G151" s="20">
        <f>Settings!$B$4+(B151-1)*Settings!$B$11+INDEX(Settings!$B$7:$B$9,MATCH(E151,Settings!$A$7:$A$9,0))</f>
        <v/>
      </c>
      <c r="H151" s="21">
        <f>G151-G150</f>
        <v/>
      </c>
      <c r="I151" s="22" t="inlineStr">
        <is>
          <t>arredondo-05-03-24-tao-te-ching-chaps-48-50-gain-daily-sages-no-fixed-mind-from</t>
        </is>
      </c>
      <c r="J151" s="18" t="inlineStr">
        <is>
          <t>Planned</t>
        </is>
      </c>
      <c r="K151" s="18" t="n"/>
      <c r="L151" s="18" t="n"/>
      <c r="M151" s="20" t="n"/>
    </row>
    <row r="152" ht="15" customHeight="1" s="16">
      <c r="A152" s="18" t="n">
        <v>151</v>
      </c>
      <c r="B152" s="18">
        <f>INT((A152-1)/3)+1</f>
        <v/>
      </c>
      <c r="C152" s="19" t="n">
        <v>51</v>
      </c>
      <c r="D152" s="18" t="inlineStr">
        <is>
          <t>The Way Gives Birth</t>
        </is>
      </c>
      <c r="E152" s="18" t="inlineStr">
        <is>
          <t>Reading</t>
        </is>
      </c>
      <c r="F152" s="18">
        <f>TEXT(G152,"ddd")</f>
        <v/>
      </c>
      <c r="G152" s="20">
        <f>Settings!$B$4+(B152-1)*Settings!$B$11+INDEX(Settings!$B$7:$B$9,MATCH(E152,Settings!$A$7:$A$9,0))</f>
        <v/>
      </c>
      <c r="H152" s="21">
        <f>G152-G151</f>
        <v/>
      </c>
      <c r="I152" s="22" t="inlineStr">
        <is>
          <t>arredondo-05-03-24-tao-te-ching-chaps-48-50-gain-daily-sages-no-fixed-mind-from</t>
        </is>
      </c>
      <c r="J152" s="18" t="inlineStr">
        <is>
          <t>Planned</t>
        </is>
      </c>
      <c r="K152" s="18" t="n"/>
      <c r="L152" s="18" t="n"/>
      <c r="M152" s="20" t="n"/>
    </row>
    <row r="153" ht="15" customHeight="1" s="16">
      <c r="A153" s="18" t="n">
        <v>152</v>
      </c>
      <c r="B153" s="18">
        <f>INT((A153-1)/3)+1</f>
        <v/>
      </c>
      <c r="C153" s="19" t="n">
        <v>51</v>
      </c>
      <c r="D153" s="18" t="inlineStr">
        <is>
          <t>The Way Gives Birth</t>
        </is>
      </c>
      <c r="E153" s="18" t="inlineStr">
        <is>
          <t>Discussion 1</t>
        </is>
      </c>
      <c r="F153" s="18">
        <f>TEXT(G153,"ddd")</f>
        <v/>
      </c>
      <c r="G153" s="20">
        <f>Settings!$B$4+(B153-1)*Settings!$B$11+INDEX(Settings!$B$7:$B$9,MATCH(E153,Settings!$A$7:$A$9,0))</f>
        <v/>
      </c>
      <c r="H153" s="21">
        <f>G153-G152</f>
        <v/>
      </c>
      <c r="I153" s="22" t="inlineStr">
        <is>
          <t>arredondo-05-03-24-tao-te-ching-chaps-48-50-gain-daily-sages-no-fixed-mind-from</t>
        </is>
      </c>
      <c r="J153" s="18" t="inlineStr">
        <is>
          <t>Planned</t>
        </is>
      </c>
      <c r="K153" s="18" t="n"/>
      <c r="L153" s="18" t="n"/>
      <c r="M153" s="20" t="n"/>
    </row>
    <row r="154" ht="15" customHeight="1" s="16">
      <c r="A154" s="18" t="n">
        <v>153</v>
      </c>
      <c r="B154" s="18">
        <f>INT((A154-1)/3)+1</f>
        <v/>
      </c>
      <c r="C154" s="19" t="n">
        <v>51</v>
      </c>
      <c r="D154" s="18" t="inlineStr">
        <is>
          <t>The Way Gives Birth</t>
        </is>
      </c>
      <c r="E154" s="18" t="inlineStr">
        <is>
          <t>Discussion 2</t>
        </is>
      </c>
      <c r="F154" s="18">
        <f>TEXT(G154,"ddd")</f>
        <v/>
      </c>
      <c r="G154" s="20">
        <f>Settings!$B$4+(B154-1)*Settings!$B$11+INDEX(Settings!$B$7:$B$9,MATCH(E154,Settings!$A$7:$A$9,0))</f>
        <v/>
      </c>
      <c r="H154" s="21">
        <f>G154-G153</f>
        <v/>
      </c>
      <c r="I154" s="22" t="inlineStr">
        <is>
          <t>arredondo-05-03-24-tao-te-ching-chaps-48-50-gain-daily-sages-no-fixed-mind-from</t>
        </is>
      </c>
      <c r="J154" s="18" t="inlineStr">
        <is>
          <t>Planned</t>
        </is>
      </c>
      <c r="K154" s="18" t="n"/>
      <c r="L154" s="18" t="n"/>
      <c r="M154" s="20" t="n"/>
    </row>
    <row r="155" ht="15" customHeight="1" s="16">
      <c r="A155" s="18" t="n">
        <v>154</v>
      </c>
      <c r="B155" s="18">
        <f>INT((A155-1)/3)+1</f>
        <v/>
      </c>
      <c r="C155" s="19" t="n">
        <v>52</v>
      </c>
      <c r="D155" s="18" t="inlineStr">
        <is>
          <t>The World Has a Beginning</t>
        </is>
      </c>
      <c r="E155" s="18" t="inlineStr">
        <is>
          <t>Reading</t>
        </is>
      </c>
      <c r="F155" s="18">
        <f>TEXT(G155,"ddd")</f>
        <v/>
      </c>
      <c r="G155" s="20">
        <f>Settings!$B$4+(B155-1)*Settings!$B$11+INDEX(Settings!$B$7:$B$9,MATCH(E155,Settings!$A$7:$A$9,0))</f>
        <v/>
      </c>
      <c r="H155" s="21">
        <f>G155-G154</f>
        <v/>
      </c>
      <c r="I155" s="22" t="inlineStr">
        <is>
          <t>arredondo-05-06-24-tao-te-ching-chaps-51-54-gives-birth-world-beginning-flashes</t>
        </is>
      </c>
      <c r="J155" s="18" t="inlineStr">
        <is>
          <t>Planned</t>
        </is>
      </c>
      <c r="K155" s="18" t="n"/>
      <c r="L155" s="18" t="n"/>
      <c r="M155" s="20" t="n"/>
    </row>
    <row r="156" ht="15" customHeight="1" s="16">
      <c r="A156" s="18" t="n">
        <v>155</v>
      </c>
      <c r="B156" s="18">
        <f>INT((A156-1)/3)+1</f>
        <v/>
      </c>
      <c r="C156" s="19" t="n">
        <v>52</v>
      </c>
      <c r="D156" s="18" t="inlineStr">
        <is>
          <t>The World Has a Beginning</t>
        </is>
      </c>
      <c r="E156" s="18" t="inlineStr">
        <is>
          <t>Discussion 1</t>
        </is>
      </c>
      <c r="F156" s="18">
        <f>TEXT(G156,"ddd")</f>
        <v/>
      </c>
      <c r="G156" s="20">
        <f>Settings!$B$4+(B156-1)*Settings!$B$11+INDEX(Settings!$B$7:$B$9,MATCH(E156,Settings!$A$7:$A$9,0))</f>
        <v/>
      </c>
      <c r="H156" s="21">
        <f>G156-G155</f>
        <v/>
      </c>
      <c r="I156" s="22" t="inlineStr">
        <is>
          <t>arredondo-05-06-24-tao-te-ching-chaps-51-54-gives-birth-world-beginning-flashes</t>
        </is>
      </c>
      <c r="J156" s="18" t="inlineStr">
        <is>
          <t>Planned</t>
        </is>
      </c>
      <c r="K156" s="18" t="n"/>
      <c r="L156" s="18" t="n"/>
      <c r="M156" s="20" t="n"/>
    </row>
    <row r="157" ht="15" customHeight="1" s="16">
      <c r="A157" s="18" t="n">
        <v>156</v>
      </c>
      <c r="B157" s="18">
        <f>INT((A157-1)/3)+1</f>
        <v/>
      </c>
      <c r="C157" s="19" t="n">
        <v>52</v>
      </c>
      <c r="D157" s="18" t="inlineStr">
        <is>
          <t>The World Has a Beginning</t>
        </is>
      </c>
      <c r="E157" s="18" t="inlineStr">
        <is>
          <t>Discussion 2</t>
        </is>
      </c>
      <c r="F157" s="18">
        <f>TEXT(G157,"ddd")</f>
        <v/>
      </c>
      <c r="G157" s="20">
        <f>Settings!$B$4+(B157-1)*Settings!$B$11+INDEX(Settings!$B$7:$B$9,MATCH(E157,Settings!$A$7:$A$9,0))</f>
        <v/>
      </c>
      <c r="H157" s="21">
        <f>G157-G156</f>
        <v/>
      </c>
      <c r="I157" s="22" t="inlineStr">
        <is>
          <t>arredondo-05-06-24-tao-te-ching-chaps-51-54-gives-birth-world-beginning-flashes</t>
        </is>
      </c>
      <c r="J157" s="18" t="inlineStr">
        <is>
          <t>Planned</t>
        </is>
      </c>
      <c r="K157" s="18" t="n"/>
      <c r="L157" s="18" t="n"/>
      <c r="M157" s="20" t="n"/>
    </row>
    <row r="158" ht="15" customHeight="1" s="16">
      <c r="A158" s="18" t="n">
        <v>157</v>
      </c>
      <c r="B158" s="18">
        <f>INT((A158-1)/3)+1</f>
        <v/>
      </c>
      <c r="C158" s="19" t="n">
        <v>53</v>
      </c>
      <c r="D158" s="18" t="inlineStr">
        <is>
          <t>Causing One Flashes</t>
        </is>
      </c>
      <c r="E158" s="18" t="inlineStr">
        <is>
          <t>Reading</t>
        </is>
      </c>
      <c r="F158" s="18">
        <f>TEXT(G158,"ddd")</f>
        <v/>
      </c>
      <c r="G158" s="20">
        <f>Settings!$B$4+(B158-1)*Settings!$B$11+INDEX(Settings!$B$7:$B$9,MATCH(E158,Settings!$A$7:$A$9,0))</f>
        <v/>
      </c>
      <c r="H158" s="21">
        <f>G158-G157</f>
        <v/>
      </c>
      <c r="I158" s="22" t="inlineStr">
        <is>
          <t>arredondo-05-06-24-tao-te-ching-chaps-51-54-gives-birth-world-beginning-flashes</t>
        </is>
      </c>
      <c r="J158" s="18" t="inlineStr">
        <is>
          <t>Planned</t>
        </is>
      </c>
      <c r="K158" s="18" t="n"/>
      <c r="L158" s="18" t="n"/>
      <c r="M158" s="20" t="n"/>
    </row>
    <row r="159" ht="15" customHeight="1" s="16">
      <c r="A159" s="18" t="n">
        <v>158</v>
      </c>
      <c r="B159" s="18">
        <f>INT((A159-1)/3)+1</f>
        <v/>
      </c>
      <c r="C159" s="19" t="n">
        <v>53</v>
      </c>
      <c r="D159" s="18" t="inlineStr">
        <is>
          <t>Causing One Flashes</t>
        </is>
      </c>
      <c r="E159" s="18" t="inlineStr">
        <is>
          <t>Discussion 1</t>
        </is>
      </c>
      <c r="F159" s="18">
        <f>TEXT(G159,"ddd")</f>
        <v/>
      </c>
      <c r="G159" s="20">
        <f>Settings!$B$4+(B159-1)*Settings!$B$11+INDEX(Settings!$B$7:$B$9,MATCH(E159,Settings!$A$7:$A$9,0))</f>
        <v/>
      </c>
      <c r="H159" s="21">
        <f>G159-G158</f>
        <v/>
      </c>
      <c r="I159" s="22" t="inlineStr">
        <is>
          <t>arredondo-05-06-24-tao-te-ching-chaps-51-54-gives-birth-world-beginning-flashes</t>
        </is>
      </c>
      <c r="J159" s="18" t="inlineStr">
        <is>
          <t>Planned</t>
        </is>
      </c>
      <c r="K159" s="18" t="n"/>
      <c r="L159" s="18" t="n"/>
      <c r="M159" s="20" t="n"/>
    </row>
    <row r="160" ht="15" customHeight="1" s="16">
      <c r="A160" s="18" t="n">
        <v>159</v>
      </c>
      <c r="B160" s="18">
        <f>INT((A160-1)/3)+1</f>
        <v/>
      </c>
      <c r="C160" s="19" t="n">
        <v>53</v>
      </c>
      <c r="D160" s="18" t="inlineStr">
        <is>
          <t>Causing One Flashes</t>
        </is>
      </c>
      <c r="E160" s="18" t="inlineStr">
        <is>
          <t>Discussion 2</t>
        </is>
      </c>
      <c r="F160" s="18">
        <f>TEXT(G160,"ddd")</f>
        <v/>
      </c>
      <c r="G160" s="20">
        <f>Settings!$B$4+(B160-1)*Settings!$B$11+INDEX(Settings!$B$7:$B$9,MATCH(E160,Settings!$A$7:$A$9,0))</f>
        <v/>
      </c>
      <c r="H160" s="21">
        <f>G160-G159</f>
        <v/>
      </c>
      <c r="I160" s="22" t="inlineStr">
        <is>
          <t>arredondo-05-06-24-tao-te-ching-chaps-51-54-gives-birth-world-beginning-flashes</t>
        </is>
      </c>
      <c r="J160" s="18" t="inlineStr">
        <is>
          <t>Planned</t>
        </is>
      </c>
      <c r="K160" s="18" t="n"/>
      <c r="L160" s="18" t="n"/>
      <c r="M160" s="20" t="n"/>
    </row>
    <row r="161" ht="15" customHeight="1" s="16">
      <c r="A161" s="18" t="n">
        <v>160</v>
      </c>
      <c r="B161" s="18">
        <f>INT((A161-1)/3)+1</f>
        <v/>
      </c>
      <c r="C161" s="19" t="n">
        <v>54</v>
      </c>
      <c r="D161" s="18" t="inlineStr">
        <is>
          <t>Good Construction Does Not Fall Down</t>
        </is>
      </c>
      <c r="E161" s="18" t="inlineStr">
        <is>
          <t>Reading</t>
        </is>
      </c>
      <c r="F161" s="18">
        <f>TEXT(G161,"ddd")</f>
        <v/>
      </c>
      <c r="G161" s="20">
        <f>Settings!$B$4+(B161-1)*Settings!$B$11+INDEX(Settings!$B$7:$B$9,MATCH(E161,Settings!$A$7:$A$9,0))</f>
        <v/>
      </c>
      <c r="H161" s="21">
        <f>G161-G160</f>
        <v/>
      </c>
      <c r="I161" s="22" t="inlineStr">
        <is>
          <t>arredondo-05-06-24-tao-te-ching-chaps-51-54-gives-birth-world-beginning-flashes</t>
        </is>
      </c>
      <c r="J161" s="18" t="inlineStr">
        <is>
          <t>Planned</t>
        </is>
      </c>
      <c r="K161" s="18" t="n"/>
      <c r="L161" s="18" t="n"/>
      <c r="M161" s="20" t="n"/>
    </row>
    <row r="162" ht="15" customHeight="1" s="16">
      <c r="A162" s="18" t="n">
        <v>161</v>
      </c>
      <c r="B162" s="18">
        <f>INT((A162-1)/3)+1</f>
        <v/>
      </c>
      <c r="C162" s="19" t="n">
        <v>54</v>
      </c>
      <c r="D162" s="18" t="inlineStr">
        <is>
          <t>Good Construction Does Not Fall Down</t>
        </is>
      </c>
      <c r="E162" s="18" t="inlineStr">
        <is>
          <t>Discussion 1</t>
        </is>
      </c>
      <c r="F162" s="18">
        <f>TEXT(G162,"ddd")</f>
        <v/>
      </c>
      <c r="G162" s="20">
        <f>Settings!$B$4+(B162-1)*Settings!$B$11+INDEX(Settings!$B$7:$B$9,MATCH(E162,Settings!$A$7:$A$9,0))</f>
        <v/>
      </c>
      <c r="H162" s="21">
        <f>G162-G161</f>
        <v/>
      </c>
      <c r="I162" s="22" t="inlineStr">
        <is>
          <t>arredondo-05-06-24-tao-te-ching-chaps-51-54-gives-birth-world-beginning-flashes</t>
        </is>
      </c>
      <c r="J162" s="18" t="inlineStr">
        <is>
          <t>Planned</t>
        </is>
      </c>
      <c r="K162" s="18" t="n"/>
      <c r="L162" s="18" t="n"/>
      <c r="M162" s="20" t="n"/>
    </row>
    <row r="163" ht="15" customHeight="1" s="16">
      <c r="A163" s="18" t="n">
        <v>162</v>
      </c>
      <c r="B163" s="18">
        <f>INT((A163-1)/3)+1</f>
        <v/>
      </c>
      <c r="C163" s="19" t="n">
        <v>54</v>
      </c>
      <c r="D163" s="18" t="inlineStr">
        <is>
          <t>Good Construction Does Not Fall Down</t>
        </is>
      </c>
      <c r="E163" s="18" t="inlineStr">
        <is>
          <t>Discussion 2</t>
        </is>
      </c>
      <c r="F163" s="18">
        <f>TEXT(G163,"ddd")</f>
        <v/>
      </c>
      <c r="G163" s="20">
        <f>Settings!$B$4+(B163-1)*Settings!$B$11+INDEX(Settings!$B$7:$B$9,MATCH(E163,Settings!$A$7:$A$9,0))</f>
        <v/>
      </c>
      <c r="H163" s="21">
        <f>G163-G162</f>
        <v/>
      </c>
      <c r="I163" s="22" t="inlineStr">
        <is>
          <t>arredondo-05-06-24-tao-te-ching-chaps-51-54-gives-birth-world-beginning-flashes</t>
        </is>
      </c>
      <c r="J163" s="18" t="inlineStr">
        <is>
          <t>Planned</t>
        </is>
      </c>
      <c r="K163" s="18" t="n"/>
      <c r="L163" s="18" t="n"/>
      <c r="M163" s="20" t="n"/>
    </row>
    <row r="164" ht="15" customHeight="1" s="16">
      <c r="A164" s="18" t="n">
        <v>163</v>
      </c>
      <c r="B164" s="18">
        <f>INT((A164-1)/3)+1</f>
        <v/>
      </c>
      <c r="C164" s="19" t="n">
        <v>55</v>
      </c>
      <c r="D164" s="18" t="inlineStr">
        <is>
          <t>The Richness of Subliminal Virtue</t>
        </is>
      </c>
      <c r="E164" s="18" t="inlineStr">
        <is>
          <t>Reading</t>
        </is>
      </c>
      <c r="F164" s="18">
        <f>TEXT(G164,"ddd")</f>
        <v/>
      </c>
      <c r="G164" s="20">
        <f>Settings!$B$4+(B164-1)*Settings!$B$11+INDEX(Settings!$B$7:$B$9,MATCH(E164,Settings!$A$7:$A$9,0))</f>
        <v/>
      </c>
      <c r="H164" s="21">
        <f>G164-G163</f>
        <v/>
      </c>
      <c r="I164" s="22" t="inlineStr">
        <is>
          <t>arredondo-05-07-24-tao-te-ching-chaps-55-58-subliminal-those-who-know-govern-un</t>
        </is>
      </c>
      <c r="J164" s="18" t="inlineStr">
        <is>
          <t>Planned</t>
        </is>
      </c>
      <c r="K164" s="18" t="n"/>
      <c r="L164" s="18" t="n"/>
      <c r="M164" s="20" t="n"/>
    </row>
    <row r="165" ht="15" customHeight="1" s="16">
      <c r="A165" s="18" t="n">
        <v>164</v>
      </c>
      <c r="B165" s="18">
        <f>INT((A165-1)/3)+1</f>
        <v/>
      </c>
      <c r="C165" s="19" t="n">
        <v>55</v>
      </c>
      <c r="D165" s="18" t="inlineStr">
        <is>
          <t>The Richness of Subliminal Virtue</t>
        </is>
      </c>
      <c r="E165" s="18" t="inlineStr">
        <is>
          <t>Discussion 1</t>
        </is>
      </c>
      <c r="F165" s="18">
        <f>TEXT(G165,"ddd")</f>
        <v/>
      </c>
      <c r="G165" s="20">
        <f>Settings!$B$4+(B165-1)*Settings!$B$11+INDEX(Settings!$B$7:$B$9,MATCH(E165,Settings!$A$7:$A$9,0))</f>
        <v/>
      </c>
      <c r="H165" s="21">
        <f>G165-G164</f>
        <v/>
      </c>
      <c r="I165" s="22" t="inlineStr">
        <is>
          <t>arredondo-05-07-24-tao-te-ching-chaps-55-58-subliminal-those-who-know-govern-un</t>
        </is>
      </c>
      <c r="J165" s="18" t="inlineStr">
        <is>
          <t>Planned</t>
        </is>
      </c>
      <c r="K165" s="18" t="n"/>
      <c r="L165" s="18" t="n"/>
      <c r="M165" s="20" t="n"/>
    </row>
    <row r="166" ht="15" customHeight="1" s="16">
      <c r="A166" s="18" t="n">
        <v>165</v>
      </c>
      <c r="B166" s="18">
        <f>INT((A166-1)/3)+1</f>
        <v/>
      </c>
      <c r="C166" s="19" t="n">
        <v>55</v>
      </c>
      <c r="D166" s="18" t="inlineStr">
        <is>
          <t>The Richness of Subliminal Virtue</t>
        </is>
      </c>
      <c r="E166" s="18" t="inlineStr">
        <is>
          <t>Discussion 2</t>
        </is>
      </c>
      <c r="F166" s="18">
        <f>TEXT(G166,"ddd")</f>
        <v/>
      </c>
      <c r="G166" s="20">
        <f>Settings!$B$4+(B166-1)*Settings!$B$11+INDEX(Settings!$B$7:$B$9,MATCH(E166,Settings!$A$7:$A$9,0))</f>
        <v/>
      </c>
      <c r="H166" s="21">
        <f>G166-G165</f>
        <v/>
      </c>
      <c r="I166" s="22" t="inlineStr">
        <is>
          <t>arredondo-05-07-24-tao-te-ching-chaps-55-58-subliminal-those-who-know-govern-un</t>
        </is>
      </c>
      <c r="J166" s="18" t="inlineStr">
        <is>
          <t>Planned</t>
        </is>
      </c>
      <c r="K166" s="18" t="n"/>
      <c r="L166" s="18" t="n"/>
      <c r="M166" s="20" t="n"/>
    </row>
    <row r="167" ht="15" customHeight="1" s="16">
      <c r="A167" s="18" t="n">
        <v>166</v>
      </c>
      <c r="B167" s="18">
        <f>INT((A167-1)/3)+1</f>
        <v/>
      </c>
      <c r="C167" s="19" t="n">
        <v>56</v>
      </c>
      <c r="D167" s="18" t="inlineStr">
        <is>
          <t>Those Who Know Do Not Say</t>
        </is>
      </c>
      <c r="E167" s="18" t="inlineStr">
        <is>
          <t>Reading</t>
        </is>
      </c>
      <c r="F167" s="18">
        <f>TEXT(G167,"ddd")</f>
        <v/>
      </c>
      <c r="G167" s="20">
        <f>Settings!$B$4+(B167-1)*Settings!$B$11+INDEX(Settings!$B$7:$B$9,MATCH(E167,Settings!$A$7:$A$9,0))</f>
        <v/>
      </c>
      <c r="H167" s="21">
        <f>G167-G166</f>
        <v/>
      </c>
      <c r="I167" s="22" t="inlineStr">
        <is>
          <t>arredondo-05-07-24-tao-te-ching-chaps-55-58-subliminal-those-who-know-govern-un</t>
        </is>
      </c>
      <c r="J167" s="18" t="inlineStr">
        <is>
          <t>Planned</t>
        </is>
      </c>
      <c r="K167" s="18" t="n"/>
      <c r="L167" s="18" t="n"/>
      <c r="M167" s="20" t="n"/>
    </row>
    <row r="168" ht="15" customHeight="1" s="16">
      <c r="A168" s="18" t="n">
        <v>167</v>
      </c>
      <c r="B168" s="18">
        <f>INT((A168-1)/3)+1</f>
        <v/>
      </c>
      <c r="C168" s="19" t="n">
        <v>56</v>
      </c>
      <c r="D168" s="18" t="inlineStr">
        <is>
          <t>Those Who Know Do Not Say</t>
        </is>
      </c>
      <c r="E168" s="18" t="inlineStr">
        <is>
          <t>Discussion 1</t>
        </is>
      </c>
      <c r="F168" s="18">
        <f>TEXT(G168,"ddd")</f>
        <v/>
      </c>
      <c r="G168" s="20">
        <f>Settings!$B$4+(B168-1)*Settings!$B$11+INDEX(Settings!$B$7:$B$9,MATCH(E168,Settings!$A$7:$A$9,0))</f>
        <v/>
      </c>
      <c r="H168" s="21">
        <f>G168-G167</f>
        <v/>
      </c>
      <c r="I168" s="22" t="inlineStr">
        <is>
          <t>arredondo-05-07-24-tao-te-ching-chaps-55-58-subliminal-those-who-know-govern-un</t>
        </is>
      </c>
      <c r="J168" s="18" t="inlineStr">
        <is>
          <t>Planned</t>
        </is>
      </c>
      <c r="K168" s="18" t="n"/>
      <c r="L168" s="18" t="n"/>
      <c r="M168" s="20" t="n"/>
    </row>
    <row r="169" ht="15" customHeight="1" s="16">
      <c r="A169" s="18" t="n">
        <v>168</v>
      </c>
      <c r="B169" s="18">
        <f>INT((A169-1)/3)+1</f>
        <v/>
      </c>
      <c r="C169" s="19" t="n">
        <v>56</v>
      </c>
      <c r="D169" s="18" t="inlineStr">
        <is>
          <t>Those Who Know Do Not Say</t>
        </is>
      </c>
      <c r="E169" s="18" t="inlineStr">
        <is>
          <t>Discussion 2</t>
        </is>
      </c>
      <c r="F169" s="18">
        <f>TEXT(G169,"ddd")</f>
        <v/>
      </c>
      <c r="G169" s="20">
        <f>Settings!$B$4+(B169-1)*Settings!$B$11+INDEX(Settings!$B$7:$B$9,MATCH(E169,Settings!$A$7:$A$9,0))</f>
        <v/>
      </c>
      <c r="H169" s="21">
        <f>G169-G168</f>
        <v/>
      </c>
      <c r="I169" s="22" t="inlineStr">
        <is>
          <t>arredondo-05-07-24-tao-te-ching-chaps-55-58-subliminal-those-who-know-govern-un</t>
        </is>
      </c>
      <c r="J169" s="18" t="inlineStr">
        <is>
          <t>Planned</t>
        </is>
      </c>
      <c r="K169" s="18" t="n"/>
      <c r="L169" s="18" t="n"/>
      <c r="M169" s="20" t="n"/>
    </row>
    <row r="170" ht="15" customHeight="1" s="16">
      <c r="A170" s="18" t="n">
        <v>169</v>
      </c>
      <c r="B170" s="18">
        <f>INT((A170-1)/3)+1</f>
        <v/>
      </c>
      <c r="C170" s="19" t="n">
        <v>57</v>
      </c>
      <c r="D170" s="18" t="inlineStr">
        <is>
          <t>Govern Nations by Normalcy</t>
        </is>
      </c>
      <c r="E170" s="18" t="inlineStr">
        <is>
          <t>Reading</t>
        </is>
      </c>
      <c r="F170" s="18">
        <f>TEXT(G170,"ddd")</f>
        <v/>
      </c>
      <c r="G170" s="20">
        <f>Settings!$B$4+(B170-1)*Settings!$B$11+INDEX(Settings!$B$7:$B$9,MATCH(E170,Settings!$A$7:$A$9,0))</f>
        <v/>
      </c>
      <c r="H170" s="21">
        <f>G170-G169</f>
        <v/>
      </c>
      <c r="I170" s="22" t="inlineStr">
        <is>
          <t>arredondo-05-07-24-tao-te-ching-chaps-55-58-subliminal-those-who-know-govern-un</t>
        </is>
      </c>
      <c r="J170" s="18" t="inlineStr">
        <is>
          <t>Planned</t>
        </is>
      </c>
      <c r="K170" s="18" t="n"/>
      <c r="L170" s="18" t="n"/>
      <c r="M170" s="20" t="n"/>
    </row>
    <row r="171" ht="15" customHeight="1" s="16">
      <c r="A171" s="18" t="n">
        <v>170</v>
      </c>
      <c r="B171" s="18">
        <f>INT((A171-1)/3)+1</f>
        <v/>
      </c>
      <c r="C171" s="19" t="n">
        <v>57</v>
      </c>
      <c r="D171" s="18" t="inlineStr">
        <is>
          <t>Govern Nations by Normalcy</t>
        </is>
      </c>
      <c r="E171" s="18" t="inlineStr">
        <is>
          <t>Discussion 1</t>
        </is>
      </c>
      <c r="F171" s="18">
        <f>TEXT(G171,"ddd")</f>
        <v/>
      </c>
      <c r="G171" s="20">
        <f>Settings!$B$4+(B171-1)*Settings!$B$11+INDEX(Settings!$B$7:$B$9,MATCH(E171,Settings!$A$7:$A$9,0))</f>
        <v/>
      </c>
      <c r="H171" s="21">
        <f>G171-G170</f>
        <v/>
      </c>
      <c r="I171" s="22" t="inlineStr">
        <is>
          <t>arredondo-05-07-24-tao-te-ching-chaps-55-58-subliminal-those-who-know-govern-un</t>
        </is>
      </c>
      <c r="J171" s="18" t="inlineStr">
        <is>
          <t>Planned</t>
        </is>
      </c>
      <c r="K171" s="18" t="n"/>
      <c r="L171" s="18" t="n"/>
      <c r="M171" s="20" t="n"/>
    </row>
    <row r="172" ht="15" customHeight="1" s="16">
      <c r="A172" s="18" t="n">
        <v>171</v>
      </c>
      <c r="B172" s="18">
        <f>INT((A172-1)/3)+1</f>
        <v/>
      </c>
      <c r="C172" s="19" t="n">
        <v>57</v>
      </c>
      <c r="D172" s="18" t="inlineStr">
        <is>
          <t>Govern Nations by Normalcy</t>
        </is>
      </c>
      <c r="E172" s="18" t="inlineStr">
        <is>
          <t>Discussion 2</t>
        </is>
      </c>
      <c r="F172" s="18">
        <f>TEXT(G172,"ddd")</f>
        <v/>
      </c>
      <c r="G172" s="20">
        <f>Settings!$B$4+(B172-1)*Settings!$B$11+INDEX(Settings!$B$7:$B$9,MATCH(E172,Settings!$A$7:$A$9,0))</f>
        <v/>
      </c>
      <c r="H172" s="21">
        <f>G172-G171</f>
        <v/>
      </c>
      <c r="I172" s="22" t="inlineStr">
        <is>
          <t>arredondo-05-07-24-tao-te-ching-chaps-55-58-subliminal-those-who-know-govern-un</t>
        </is>
      </c>
      <c r="J172" s="18" t="inlineStr">
        <is>
          <t>Planned</t>
        </is>
      </c>
      <c r="K172" s="18" t="n"/>
      <c r="L172" s="18" t="n"/>
      <c r="M172" s="20" t="n"/>
    </row>
    <row r="173" ht="15" customHeight="1" s="16">
      <c r="A173" s="18" t="n">
        <v>172</v>
      </c>
      <c r="B173" s="18">
        <f>INT((A173-1)/3)+1</f>
        <v/>
      </c>
      <c r="C173" s="19" t="n">
        <v>58</v>
      </c>
      <c r="D173" s="18" t="inlineStr">
        <is>
          <t>When the Government Is Unobtrusive</t>
        </is>
      </c>
      <c r="E173" s="18" t="inlineStr">
        <is>
          <t>Reading</t>
        </is>
      </c>
      <c r="F173" s="18">
        <f>TEXT(G173,"ddd")</f>
        <v/>
      </c>
      <c r="G173" s="20">
        <f>Settings!$B$4+(B173-1)*Settings!$B$11+INDEX(Settings!$B$7:$B$9,MATCH(E173,Settings!$A$7:$A$9,0))</f>
        <v/>
      </c>
      <c r="H173" s="21">
        <f>G173-G172</f>
        <v/>
      </c>
      <c r="I173" s="22" t="inlineStr">
        <is>
          <t>arredondo-05-07-24-tao-te-ching-chaps-55-58-subliminal-those-who-know-govern-un</t>
        </is>
      </c>
      <c r="J173" s="18" t="inlineStr">
        <is>
          <t>Planned</t>
        </is>
      </c>
      <c r="K173" s="18" t="n"/>
      <c r="L173" s="18" t="n"/>
      <c r="M173" s="20" t="n"/>
    </row>
    <row r="174" ht="15" customHeight="1" s="16">
      <c r="A174" s="18" t="n">
        <v>173</v>
      </c>
      <c r="B174" s="18">
        <f>INT((A174-1)/3)+1</f>
        <v/>
      </c>
      <c r="C174" s="19" t="n">
        <v>58</v>
      </c>
      <c r="D174" s="18" t="inlineStr">
        <is>
          <t>When the Government Is Unobtrusive</t>
        </is>
      </c>
      <c r="E174" s="18" t="inlineStr">
        <is>
          <t>Discussion 1</t>
        </is>
      </c>
      <c r="F174" s="18">
        <f>TEXT(G174,"ddd")</f>
        <v/>
      </c>
      <c r="G174" s="20">
        <f>Settings!$B$4+(B174-1)*Settings!$B$11+INDEX(Settings!$B$7:$B$9,MATCH(E174,Settings!$A$7:$A$9,0))</f>
        <v/>
      </c>
      <c r="H174" s="21">
        <f>G174-G173</f>
        <v/>
      </c>
      <c r="I174" s="22" t="inlineStr">
        <is>
          <t>arredondo-05-07-24-tao-te-ching-chaps-55-58-subliminal-those-who-know-govern-un</t>
        </is>
      </c>
      <c r="J174" s="18" t="inlineStr">
        <is>
          <t>Planned</t>
        </is>
      </c>
      <c r="K174" s="18" t="n"/>
      <c r="L174" s="18" t="n"/>
      <c r="M174" s="20" t="n"/>
    </row>
    <row r="175" ht="15" customHeight="1" s="16">
      <c r="A175" s="18" t="n">
        <v>174</v>
      </c>
      <c r="B175" s="18">
        <f>INT((A175-1)/3)+1</f>
        <v/>
      </c>
      <c r="C175" s="19" t="n">
        <v>58</v>
      </c>
      <c r="D175" s="18" t="inlineStr">
        <is>
          <t>When the Government Is Unobtrusive</t>
        </is>
      </c>
      <c r="E175" s="18" t="inlineStr">
        <is>
          <t>Discussion 2</t>
        </is>
      </c>
      <c r="F175" s="18">
        <f>TEXT(G175,"ddd")</f>
        <v/>
      </c>
      <c r="G175" s="20">
        <f>Settings!$B$4+(B175-1)*Settings!$B$11+INDEX(Settings!$B$7:$B$9,MATCH(E175,Settings!$A$7:$A$9,0))</f>
        <v/>
      </c>
      <c r="H175" s="21">
        <f>G175-G174</f>
        <v/>
      </c>
      <c r="I175" s="22" t="inlineStr">
        <is>
          <t>arredondo-05-07-24-tao-te-ching-chaps-55-58-subliminal-those-who-know-govern-un</t>
        </is>
      </c>
      <c r="J175" s="18" t="inlineStr">
        <is>
          <t>Planned</t>
        </is>
      </c>
      <c r="K175" s="18" t="n"/>
      <c r="L175" s="18" t="n"/>
      <c r="M175" s="20" t="n"/>
    </row>
    <row r="176" ht="15" customHeight="1" s="16">
      <c r="A176" s="18" t="n">
        <v>175</v>
      </c>
      <c r="B176" s="18">
        <f>INT((A176-1)/3)+1</f>
        <v/>
      </c>
      <c r="C176" s="19" t="n">
        <v>59</v>
      </c>
      <c r="D176" s="18" t="inlineStr">
        <is>
          <t>To Govern the Human and Serve the Divine</t>
        </is>
      </c>
      <c r="E176" s="18" t="inlineStr">
        <is>
          <t>Reading</t>
        </is>
      </c>
      <c r="F176" s="18">
        <f>TEXT(G176,"ddd")</f>
        <v/>
      </c>
      <c r="G176" s="20">
        <f>Settings!$B$4+(B176-1)*Settings!$B$11+INDEX(Settings!$B$7:$B$9,MATCH(E176,Settings!$A$7:$A$9,0))</f>
        <v/>
      </c>
      <c r="H176" s="21">
        <f>G176-G175</f>
        <v/>
      </c>
      <c r="I176" s="22" t="inlineStr">
        <is>
          <t>arredondo-05-08-24-tao-te-ching-chaps-59-62-govern-the-human-small-fry-great-na</t>
        </is>
      </c>
      <c r="J176" s="18" t="inlineStr">
        <is>
          <t>Planned</t>
        </is>
      </c>
      <c r="K176" s="18" t="n"/>
      <c r="L176" s="18" t="n"/>
      <c r="M176" s="20" t="n"/>
    </row>
    <row r="177" ht="15" customHeight="1" s="16">
      <c r="A177" s="18" t="n">
        <v>176</v>
      </c>
      <c r="B177" s="18">
        <f>INT((A177-1)/3)+1</f>
        <v/>
      </c>
      <c r="C177" s="19" t="n">
        <v>59</v>
      </c>
      <c r="D177" s="18" t="inlineStr">
        <is>
          <t>To Govern the Human and Serve the Divine</t>
        </is>
      </c>
      <c r="E177" s="18" t="inlineStr">
        <is>
          <t>Discussion 1</t>
        </is>
      </c>
      <c r="F177" s="18">
        <f>TEXT(G177,"ddd")</f>
        <v/>
      </c>
      <c r="G177" s="20">
        <f>Settings!$B$4+(B177-1)*Settings!$B$11+INDEX(Settings!$B$7:$B$9,MATCH(E177,Settings!$A$7:$A$9,0))</f>
        <v/>
      </c>
      <c r="H177" s="21">
        <f>G177-G176</f>
        <v/>
      </c>
      <c r="I177" s="22" t="inlineStr">
        <is>
          <t>arredondo-05-08-24-tao-te-ching-chaps-59-62-govern-the-human-small-fry-great-na</t>
        </is>
      </c>
      <c r="J177" s="18" t="inlineStr">
        <is>
          <t>Planned</t>
        </is>
      </c>
      <c r="K177" s="18" t="n"/>
      <c r="L177" s="18" t="n"/>
      <c r="M177" s="20" t="n"/>
    </row>
    <row r="178" ht="15" customHeight="1" s="16">
      <c r="A178" s="18" t="n">
        <v>177</v>
      </c>
      <c r="B178" s="18">
        <f>INT((A178-1)/3)+1</f>
        <v/>
      </c>
      <c r="C178" s="19" t="n">
        <v>59</v>
      </c>
      <c r="D178" s="18" t="inlineStr">
        <is>
          <t>To Govern the Human and Serve the Divine</t>
        </is>
      </c>
      <c r="E178" s="18" t="inlineStr">
        <is>
          <t>Discussion 2</t>
        </is>
      </c>
      <c r="F178" s="18">
        <f>TEXT(G178,"ddd")</f>
        <v/>
      </c>
      <c r="G178" s="20">
        <f>Settings!$B$4+(B178-1)*Settings!$B$11+INDEX(Settings!$B$7:$B$9,MATCH(E178,Settings!$A$7:$A$9,0))</f>
        <v/>
      </c>
      <c r="H178" s="21">
        <f>G178-G177</f>
        <v/>
      </c>
      <c r="I178" s="22" t="inlineStr">
        <is>
          <t>arredondo-05-08-24-tao-te-ching-chaps-59-62-govern-the-human-small-fry-great-na</t>
        </is>
      </c>
      <c r="J178" s="18" t="inlineStr">
        <is>
          <t>Planned</t>
        </is>
      </c>
      <c r="K178" s="18" t="n"/>
      <c r="L178" s="18" t="n"/>
      <c r="M178" s="20" t="n"/>
    </row>
    <row r="179" ht="15" customHeight="1" s="16">
      <c r="A179" s="18" t="n">
        <v>178</v>
      </c>
      <c r="B179" s="18">
        <f>INT((A179-1)/3)+1</f>
        <v/>
      </c>
      <c r="C179" s="19" t="n">
        <v>60</v>
      </c>
      <c r="D179" s="18" t="inlineStr">
        <is>
          <t>Governing a Large Nation Is like Cooking Small Fry</t>
        </is>
      </c>
      <c r="E179" s="18" t="inlineStr">
        <is>
          <t>Reading</t>
        </is>
      </c>
      <c r="F179" s="18">
        <f>TEXT(G179,"ddd")</f>
        <v/>
      </c>
      <c r="G179" s="20">
        <f>Settings!$B$4+(B179-1)*Settings!$B$11+INDEX(Settings!$B$7:$B$9,MATCH(E179,Settings!$A$7:$A$9,0))</f>
        <v/>
      </c>
      <c r="H179" s="21">
        <f>G179-G178</f>
        <v/>
      </c>
      <c r="I179" s="22" t="inlineStr">
        <is>
          <t>arredondo-05-08-24-tao-te-ching-chaps-59-62-govern-the-human-small-fry-great-na</t>
        </is>
      </c>
      <c r="J179" s="18" t="inlineStr">
        <is>
          <t>Planned</t>
        </is>
      </c>
      <c r="K179" s="18" t="n"/>
      <c r="L179" s="18" t="n"/>
      <c r="M179" s="20" t="n"/>
    </row>
    <row r="180" ht="15" customHeight="1" s="16">
      <c r="A180" s="18" t="n">
        <v>179</v>
      </c>
      <c r="B180" s="18">
        <f>INT((A180-1)/3)+1</f>
        <v/>
      </c>
      <c r="C180" s="19" t="n">
        <v>60</v>
      </c>
      <c r="D180" s="18" t="inlineStr">
        <is>
          <t>Governing a Large Nation Is like Cooking Small Fry</t>
        </is>
      </c>
      <c r="E180" s="18" t="inlineStr">
        <is>
          <t>Discussion 1</t>
        </is>
      </c>
      <c r="F180" s="18">
        <f>TEXT(G180,"ddd")</f>
        <v/>
      </c>
      <c r="G180" s="20">
        <f>Settings!$B$4+(B180-1)*Settings!$B$11+INDEX(Settings!$B$7:$B$9,MATCH(E180,Settings!$A$7:$A$9,0))</f>
        <v/>
      </c>
      <c r="H180" s="21">
        <f>G180-G179</f>
        <v/>
      </c>
      <c r="I180" s="22" t="inlineStr">
        <is>
          <t>arredondo-05-08-24-tao-te-ching-chaps-59-62-govern-the-human-small-fry-great-na</t>
        </is>
      </c>
      <c r="J180" s="18" t="inlineStr">
        <is>
          <t>Planned</t>
        </is>
      </c>
      <c r="K180" s="18" t="n"/>
      <c r="L180" s="18" t="n"/>
      <c r="M180" s="20" t="n"/>
    </row>
    <row r="181" ht="15" customHeight="1" s="16">
      <c r="A181" s="18" t="n">
        <v>180</v>
      </c>
      <c r="B181" s="18">
        <f>INT((A181-1)/3)+1</f>
        <v/>
      </c>
      <c r="C181" s="19" t="n">
        <v>60</v>
      </c>
      <c r="D181" s="18" t="inlineStr">
        <is>
          <t>Governing a Large Nation Is like Cooking Small Fry</t>
        </is>
      </c>
      <c r="E181" s="18" t="inlineStr">
        <is>
          <t>Discussion 2</t>
        </is>
      </c>
      <c r="F181" s="18">
        <f>TEXT(G181,"ddd")</f>
        <v/>
      </c>
      <c r="G181" s="20">
        <f>Settings!$B$4+(B181-1)*Settings!$B$11+INDEX(Settings!$B$7:$B$9,MATCH(E181,Settings!$A$7:$A$9,0))</f>
        <v/>
      </c>
      <c r="H181" s="21">
        <f>G181-G180</f>
        <v/>
      </c>
      <c r="I181" s="22" t="inlineStr">
        <is>
          <t>arredondo-05-08-24-tao-te-ching-chaps-59-62-govern-the-human-small-fry-great-na</t>
        </is>
      </c>
      <c r="J181" s="18" t="inlineStr">
        <is>
          <t>Planned</t>
        </is>
      </c>
      <c r="K181" s="18" t="n"/>
      <c r="L181" s="18" t="n"/>
      <c r="M181" s="20" t="n"/>
    </row>
    <row r="182" ht="15" customHeight="1" s="16">
      <c r="A182" s="18" t="n">
        <v>181</v>
      </c>
      <c r="B182" s="18">
        <f>INT((A182-1)/3)+1</f>
        <v/>
      </c>
      <c r="C182" s="19" t="n">
        <v>61</v>
      </c>
      <c r="D182" s="18" t="inlineStr">
        <is>
          <t>A Great Nation Flows Downward</t>
        </is>
      </c>
      <c r="E182" s="18" t="inlineStr">
        <is>
          <t>Reading</t>
        </is>
      </c>
      <c r="F182" s="18">
        <f>TEXT(G182,"ddd")</f>
        <v/>
      </c>
      <c r="G182" s="20">
        <f>Settings!$B$4+(B182-1)*Settings!$B$11+INDEX(Settings!$B$7:$B$9,MATCH(E182,Settings!$A$7:$A$9,0))</f>
        <v/>
      </c>
      <c r="H182" s="21">
        <f>G182-G181</f>
        <v/>
      </c>
      <c r="I182" s="22" t="inlineStr">
        <is>
          <t>arredondo-05-08-24-tao-te-ching-chaps-59-62-govern-the-human-small-fry-great-na</t>
        </is>
      </c>
      <c r="J182" s="18" t="inlineStr">
        <is>
          <t>Planned</t>
        </is>
      </c>
      <c r="K182" s="18" t="n"/>
      <c r="L182" s="18" t="n"/>
      <c r="M182" s="20" t="n"/>
    </row>
    <row r="183" ht="15" customHeight="1" s="16">
      <c r="A183" s="18" t="n">
        <v>182</v>
      </c>
      <c r="B183" s="18">
        <f>INT((A183-1)/3)+1</f>
        <v/>
      </c>
      <c r="C183" s="19" t="n">
        <v>61</v>
      </c>
      <c r="D183" s="18" t="inlineStr">
        <is>
          <t>A Great Nation Flows Downward</t>
        </is>
      </c>
      <c r="E183" s="18" t="inlineStr">
        <is>
          <t>Discussion 1</t>
        </is>
      </c>
      <c r="F183" s="18">
        <f>TEXT(G183,"ddd")</f>
        <v/>
      </c>
      <c r="G183" s="20">
        <f>Settings!$B$4+(B183-1)*Settings!$B$11+INDEX(Settings!$B$7:$B$9,MATCH(E183,Settings!$A$7:$A$9,0))</f>
        <v/>
      </c>
      <c r="H183" s="21">
        <f>G183-G182</f>
        <v/>
      </c>
      <c r="I183" s="22" t="inlineStr">
        <is>
          <t>arredondo-05-08-24-tao-te-ching-chaps-59-62-govern-the-human-small-fry-great-na</t>
        </is>
      </c>
      <c r="J183" s="18" t="inlineStr">
        <is>
          <t>Planned</t>
        </is>
      </c>
      <c r="K183" s="18" t="n"/>
      <c r="L183" s="18" t="n"/>
      <c r="M183" s="20" t="n"/>
    </row>
    <row r="184" ht="15" customHeight="1" s="16">
      <c r="A184" s="18" t="n">
        <v>183</v>
      </c>
      <c r="B184" s="18">
        <f>INT((A184-1)/3)+1</f>
        <v/>
      </c>
      <c r="C184" s="19" t="n">
        <v>61</v>
      </c>
      <c r="D184" s="18" t="inlineStr">
        <is>
          <t>A Great Nation Flows Downward</t>
        </is>
      </c>
      <c r="E184" s="18" t="inlineStr">
        <is>
          <t>Discussion 2</t>
        </is>
      </c>
      <c r="F184" s="18">
        <f>TEXT(G184,"ddd")</f>
        <v/>
      </c>
      <c r="G184" s="20">
        <f>Settings!$B$4+(B184-1)*Settings!$B$11+INDEX(Settings!$B$7:$B$9,MATCH(E184,Settings!$A$7:$A$9,0))</f>
        <v/>
      </c>
      <c r="H184" s="21">
        <f>G184-G183</f>
        <v/>
      </c>
      <c r="I184" s="22" t="inlineStr">
        <is>
          <t>arredondo-05-08-24-tao-te-ching-chaps-59-62-govern-the-human-small-fry-great-na</t>
        </is>
      </c>
      <c r="J184" s="18" t="inlineStr">
        <is>
          <t>Planned</t>
        </is>
      </c>
      <c r="K184" s="18" t="n"/>
      <c r="L184" s="18" t="n"/>
      <c r="M184" s="20" t="n"/>
    </row>
    <row r="185" ht="15" customHeight="1" s="16">
      <c r="A185" s="18" t="n">
        <v>184</v>
      </c>
      <c r="B185" s="18">
        <f>INT((A185-1)/3)+1</f>
        <v/>
      </c>
      <c r="C185" s="19" t="n">
        <v>62</v>
      </c>
      <c r="D185" s="18" t="inlineStr">
        <is>
          <t>The Way Is the Pivot of All Things</t>
        </is>
      </c>
      <c r="E185" s="18" t="inlineStr">
        <is>
          <t>Reading</t>
        </is>
      </c>
      <c r="F185" s="18">
        <f>TEXT(G185,"ddd")</f>
        <v/>
      </c>
      <c r="G185" s="20">
        <f>Settings!$B$4+(B185-1)*Settings!$B$11+INDEX(Settings!$B$7:$B$9,MATCH(E185,Settings!$A$7:$A$9,0))</f>
        <v/>
      </c>
      <c r="H185" s="21">
        <f>G185-G184</f>
        <v/>
      </c>
      <c r="I185" s="22" t="inlineStr">
        <is>
          <t>arredondo-05-08-24-tao-te-ching-chaps-59-62-govern-the-human-small-fry-great-na</t>
        </is>
      </c>
      <c r="J185" s="18" t="inlineStr">
        <is>
          <t>Planned</t>
        </is>
      </c>
      <c r="K185" s="18" t="n"/>
      <c r="L185" s="18" t="n"/>
      <c r="M185" s="20" t="n"/>
    </row>
    <row r="186" ht="15" customHeight="1" s="16">
      <c r="A186" s="18" t="n">
        <v>185</v>
      </c>
      <c r="B186" s="18">
        <f>INT((A186-1)/3)+1</f>
        <v/>
      </c>
      <c r="C186" s="19" t="n">
        <v>62</v>
      </c>
      <c r="D186" s="18" t="inlineStr">
        <is>
          <t>The Way Is the Pivot of All Things</t>
        </is>
      </c>
      <c r="E186" s="18" t="inlineStr">
        <is>
          <t>Discussion 1</t>
        </is>
      </c>
      <c r="F186" s="18">
        <f>TEXT(G186,"ddd")</f>
        <v/>
      </c>
      <c r="G186" s="20">
        <f>Settings!$B$4+(B186-1)*Settings!$B$11+INDEX(Settings!$B$7:$B$9,MATCH(E186,Settings!$A$7:$A$9,0))</f>
        <v/>
      </c>
      <c r="H186" s="21">
        <f>G186-G185</f>
        <v/>
      </c>
      <c r="I186" s="22" t="inlineStr">
        <is>
          <t>arredondo-05-08-24-tao-te-ching-chaps-59-62-govern-the-human-small-fry-great-na</t>
        </is>
      </c>
      <c r="J186" s="18" t="inlineStr">
        <is>
          <t>Planned</t>
        </is>
      </c>
      <c r="K186" s="18" t="n"/>
      <c r="L186" s="18" t="n"/>
      <c r="M186" s="20" t="n"/>
    </row>
    <row r="187" ht="15" customHeight="1" s="16">
      <c r="A187" s="18" t="n">
        <v>186</v>
      </c>
      <c r="B187" s="18">
        <f>INT((A187-1)/3)+1</f>
        <v/>
      </c>
      <c r="C187" s="19" t="n">
        <v>62</v>
      </c>
      <c r="D187" s="18" t="inlineStr">
        <is>
          <t>The Way Is the Pivot of All Things</t>
        </is>
      </c>
      <c r="E187" s="18" t="inlineStr">
        <is>
          <t>Discussion 2</t>
        </is>
      </c>
      <c r="F187" s="18">
        <f>TEXT(G187,"ddd")</f>
        <v/>
      </c>
      <c r="G187" s="20">
        <f>Settings!$B$4+(B187-1)*Settings!$B$11+INDEX(Settings!$B$7:$B$9,MATCH(E187,Settings!$A$7:$A$9,0))</f>
        <v/>
      </c>
      <c r="H187" s="21">
        <f>G187-G186</f>
        <v/>
      </c>
      <c r="I187" s="22" t="inlineStr">
        <is>
          <t>arredondo-05-08-24-tao-te-ching-chaps-59-62-govern-the-human-small-fry-great-na</t>
        </is>
      </c>
      <c r="J187" s="18" t="inlineStr">
        <is>
          <t>Planned</t>
        </is>
      </c>
      <c r="K187" s="18" t="n"/>
      <c r="L187" s="18" t="n"/>
      <c r="M187" s="20" t="n"/>
    </row>
    <row r="188" ht="15" customHeight="1" s="16">
      <c r="A188" s="18" t="n">
        <v>187</v>
      </c>
      <c r="B188" s="18">
        <f>INT((A188-1)/3)+1</f>
        <v/>
      </c>
      <c r="C188" s="19" t="n">
        <v>63</v>
      </c>
      <c r="D188" s="18" t="inlineStr">
        <is>
          <t>Do Nondoing</t>
        </is>
      </c>
      <c r="E188" s="18" t="inlineStr">
        <is>
          <t>Reading</t>
        </is>
      </c>
      <c r="F188" s="18">
        <f>TEXT(G188,"ddd")</f>
        <v/>
      </c>
      <c r="G188" s="20">
        <f>Settings!$B$4+(B188-1)*Settings!$B$11+INDEX(Settings!$B$7:$B$9,MATCH(E188,Settings!$A$7:$A$9,0))</f>
        <v/>
      </c>
      <c r="H188" s="21">
        <f>G188-G187</f>
        <v/>
      </c>
      <c r="I188" s="22" t="inlineStr">
        <is>
          <t>arredondo-05-09-24-tao-te-ching-chaps-63-65-do-non-doing-what-is-at-rest-good-p</t>
        </is>
      </c>
      <c r="J188" s="18" t="inlineStr">
        <is>
          <t>Planned</t>
        </is>
      </c>
      <c r="K188" s="18" t="n"/>
      <c r="L188" s="18" t="n"/>
      <c r="M188" s="20" t="n"/>
    </row>
    <row r="189" ht="15" customHeight="1" s="16">
      <c r="A189" s="18" t="n">
        <v>188</v>
      </c>
      <c r="B189" s="18">
        <f>INT((A189-1)/3)+1</f>
        <v/>
      </c>
      <c r="C189" s="19" t="n">
        <v>63</v>
      </c>
      <c r="D189" s="18" t="inlineStr">
        <is>
          <t>Do Nondoing</t>
        </is>
      </c>
      <c r="E189" s="18" t="inlineStr">
        <is>
          <t>Discussion 1</t>
        </is>
      </c>
      <c r="F189" s="18">
        <f>TEXT(G189,"ddd")</f>
        <v/>
      </c>
      <c r="G189" s="20">
        <f>Settings!$B$4+(B189-1)*Settings!$B$11+INDEX(Settings!$B$7:$B$9,MATCH(E189,Settings!$A$7:$A$9,0))</f>
        <v/>
      </c>
      <c r="H189" s="21">
        <f>G189-G188</f>
        <v/>
      </c>
      <c r="I189" s="22" t="inlineStr">
        <is>
          <t>arredondo-05-09-24-tao-te-ching-chaps-63-65-do-non-doing-what-is-at-rest-good-p</t>
        </is>
      </c>
      <c r="J189" s="18" t="inlineStr">
        <is>
          <t>Planned</t>
        </is>
      </c>
      <c r="K189" s="18" t="n"/>
      <c r="L189" s="18" t="n"/>
      <c r="M189" s="20" t="n"/>
    </row>
    <row r="190" ht="15" customHeight="1" s="16">
      <c r="A190" s="18" t="n">
        <v>189</v>
      </c>
      <c r="B190" s="18">
        <f>INT((A190-1)/3)+1</f>
        <v/>
      </c>
      <c r="C190" s="19" t="n">
        <v>63</v>
      </c>
      <c r="D190" s="18" t="inlineStr">
        <is>
          <t>Do Nondoing</t>
        </is>
      </c>
      <c r="E190" s="18" t="inlineStr">
        <is>
          <t>Discussion 2</t>
        </is>
      </c>
      <c r="F190" s="18">
        <f>TEXT(G190,"ddd")</f>
        <v/>
      </c>
      <c r="G190" s="20">
        <f>Settings!$B$4+(B190-1)*Settings!$B$11+INDEX(Settings!$B$7:$B$9,MATCH(E190,Settings!$A$7:$A$9,0))</f>
        <v/>
      </c>
      <c r="H190" s="21">
        <f>G190-G189</f>
        <v/>
      </c>
      <c r="I190" s="22" t="inlineStr">
        <is>
          <t>arredondo-05-09-24-tao-te-ching-chaps-63-65-do-non-doing-what-is-at-rest-good-p</t>
        </is>
      </c>
      <c r="J190" s="18" t="inlineStr">
        <is>
          <t>Planned</t>
        </is>
      </c>
      <c r="K190" s="18" t="n"/>
      <c r="L190" s="18" t="n"/>
      <c r="M190" s="20" t="n"/>
    </row>
    <row r="191" ht="15" customHeight="1" s="16">
      <c r="A191" s="18" t="n">
        <v>190</v>
      </c>
      <c r="B191" s="18">
        <f>INT((A191-1)/3)+1</f>
        <v/>
      </c>
      <c r="C191" s="19" t="n">
        <v>64</v>
      </c>
      <c r="D191" s="18" t="inlineStr">
        <is>
          <t>What Is at Rest Is Easy to Hold</t>
        </is>
      </c>
      <c r="E191" s="18" t="inlineStr">
        <is>
          <t>Reading</t>
        </is>
      </c>
      <c r="F191" s="18">
        <f>TEXT(G191,"ddd")</f>
        <v/>
      </c>
      <c r="G191" s="20">
        <f>Settings!$B$4+(B191-1)*Settings!$B$11+INDEX(Settings!$B$7:$B$9,MATCH(E191,Settings!$A$7:$A$9,0))</f>
        <v/>
      </c>
      <c r="H191" s="21">
        <f>G191-G190</f>
        <v/>
      </c>
      <c r="I191" s="22" t="inlineStr">
        <is>
          <t>arredondo-05-09-24-tao-te-ching-chaps-63-65-do-non-doing-what-is-at-rest-good-p</t>
        </is>
      </c>
      <c r="J191" s="18" t="inlineStr">
        <is>
          <t>Planned</t>
        </is>
      </c>
      <c r="K191" s="18" t="n"/>
      <c r="L191" s="18" t="n"/>
      <c r="M191" s="20" t="n"/>
    </row>
    <row r="192" ht="15" customHeight="1" s="16">
      <c r="A192" s="18" t="n">
        <v>191</v>
      </c>
      <c r="B192" s="18">
        <f>INT((A192-1)/3)+1</f>
        <v/>
      </c>
      <c r="C192" s="19" t="n">
        <v>64</v>
      </c>
      <c r="D192" s="18" t="inlineStr">
        <is>
          <t>What Is at Rest Is Easy to Hold</t>
        </is>
      </c>
      <c r="E192" s="18" t="inlineStr">
        <is>
          <t>Discussion 1</t>
        </is>
      </c>
      <c r="F192" s="18">
        <f>TEXT(G192,"ddd")</f>
        <v/>
      </c>
      <c r="G192" s="20">
        <f>Settings!$B$4+(B192-1)*Settings!$B$11+INDEX(Settings!$B$7:$B$9,MATCH(E192,Settings!$A$7:$A$9,0))</f>
        <v/>
      </c>
      <c r="H192" s="21">
        <f>G192-G191</f>
        <v/>
      </c>
      <c r="I192" s="22" t="inlineStr">
        <is>
          <t>arredondo-05-09-24-tao-te-ching-chaps-63-65-do-non-doing-what-is-at-rest-good-p</t>
        </is>
      </c>
      <c r="J192" s="18" t="inlineStr">
        <is>
          <t>Planned</t>
        </is>
      </c>
      <c r="K192" s="18" t="n"/>
      <c r="L192" s="18" t="n"/>
      <c r="M192" s="20" t="n"/>
    </row>
    <row r="193" ht="15" customHeight="1" s="16">
      <c r="A193" s="18" t="n">
        <v>192</v>
      </c>
      <c r="B193" s="18">
        <f>INT((A193-1)/3)+1</f>
        <v/>
      </c>
      <c r="C193" s="19" t="n">
        <v>64</v>
      </c>
      <c r="D193" s="18" t="inlineStr">
        <is>
          <t>What Is at Rest Is Easy to Hold</t>
        </is>
      </c>
      <c r="E193" s="18" t="inlineStr">
        <is>
          <t>Discussion 2</t>
        </is>
      </c>
      <c r="F193" s="18">
        <f>TEXT(G193,"ddd")</f>
        <v/>
      </c>
      <c r="G193" s="20">
        <f>Settings!$B$4+(B193-1)*Settings!$B$11+INDEX(Settings!$B$7:$B$9,MATCH(E193,Settings!$A$7:$A$9,0))</f>
        <v/>
      </c>
      <c r="H193" s="21">
        <f>G193-G192</f>
        <v/>
      </c>
      <c r="I193" s="22" t="inlineStr">
        <is>
          <t>arredondo-05-09-24-tao-te-ching-chaps-63-65-do-non-doing-what-is-at-rest-good-p</t>
        </is>
      </c>
      <c r="J193" s="18" t="inlineStr">
        <is>
          <t>Planned</t>
        </is>
      </c>
      <c r="K193" s="18" t="n"/>
      <c r="L193" s="18" t="n"/>
      <c r="M193" s="20" t="n"/>
    </row>
    <row r="194" ht="15" customHeight="1" s="16">
      <c r="A194" s="18" t="n">
        <v>193</v>
      </c>
      <c r="B194" s="18">
        <f>INT((A194-1)/3)+1</f>
        <v/>
      </c>
      <c r="C194" s="19" t="n">
        <v>65</v>
      </c>
      <c r="D194" s="18" t="inlineStr">
        <is>
          <t>Good Practitioners of the Way in Ancient Times</t>
        </is>
      </c>
      <c r="E194" s="18" t="inlineStr">
        <is>
          <t>Reading</t>
        </is>
      </c>
      <c r="F194" s="18">
        <f>TEXT(G194,"ddd")</f>
        <v/>
      </c>
      <c r="G194" s="20">
        <f>Settings!$B$4+(B194-1)*Settings!$B$11+INDEX(Settings!$B$7:$B$9,MATCH(E194,Settings!$A$7:$A$9,0))</f>
        <v/>
      </c>
      <c r="H194" s="21">
        <f>G194-G193</f>
        <v/>
      </c>
      <c r="I194" s="22" t="inlineStr">
        <is>
          <t>arredondo-05-09-24-tao-te-ching-chaps-63-65-do-non-doing-what-is-at-rest-good-p</t>
        </is>
      </c>
      <c r="J194" s="18" t="inlineStr">
        <is>
          <t>Planned</t>
        </is>
      </c>
      <c r="K194" s="18" t="n"/>
      <c r="L194" s="18" t="n"/>
      <c r="M194" s="20" t="n"/>
    </row>
    <row r="195" ht="15" customHeight="1" s="16">
      <c r="A195" s="18" t="n">
        <v>194</v>
      </c>
      <c r="B195" s="18">
        <f>INT((A195-1)/3)+1</f>
        <v/>
      </c>
      <c r="C195" s="19" t="n">
        <v>65</v>
      </c>
      <c r="D195" s="18" t="inlineStr">
        <is>
          <t>Good Practitioners of the Way in Ancient Times</t>
        </is>
      </c>
      <c r="E195" s="18" t="inlineStr">
        <is>
          <t>Discussion 1</t>
        </is>
      </c>
      <c r="F195" s="18">
        <f>TEXT(G195,"ddd")</f>
        <v/>
      </c>
      <c r="G195" s="20">
        <f>Settings!$B$4+(B195-1)*Settings!$B$11+INDEX(Settings!$B$7:$B$9,MATCH(E195,Settings!$A$7:$A$9,0))</f>
        <v/>
      </c>
      <c r="H195" s="21">
        <f>G195-G194</f>
        <v/>
      </c>
      <c r="I195" s="22" t="inlineStr">
        <is>
          <t>arredondo-05-09-24-tao-te-ching-chaps-63-65-do-non-doing-what-is-at-rest-good-p</t>
        </is>
      </c>
      <c r="J195" s="18" t="inlineStr">
        <is>
          <t>Planned</t>
        </is>
      </c>
      <c r="K195" s="18" t="n"/>
      <c r="L195" s="18" t="n"/>
      <c r="M195" s="20" t="n"/>
    </row>
    <row r="196" ht="15" customHeight="1" s="16">
      <c r="A196" s="18" t="n">
        <v>195</v>
      </c>
      <c r="B196" s="18">
        <f>INT((A196-1)/3)+1</f>
        <v/>
      </c>
      <c r="C196" s="19" t="n">
        <v>65</v>
      </c>
      <c r="D196" s="18" t="inlineStr">
        <is>
          <t>Good Practitioners of the Way in Ancient Times</t>
        </is>
      </c>
      <c r="E196" s="18" t="inlineStr">
        <is>
          <t>Discussion 2</t>
        </is>
      </c>
      <c r="F196" s="18">
        <f>TEXT(G196,"ddd")</f>
        <v/>
      </c>
      <c r="G196" s="20">
        <f>Settings!$B$4+(B196-1)*Settings!$B$11+INDEX(Settings!$B$7:$B$9,MATCH(E196,Settings!$A$7:$A$9,0))</f>
        <v/>
      </c>
      <c r="H196" s="21">
        <f>G196-G195</f>
        <v/>
      </c>
      <c r="I196" s="22" t="inlineStr">
        <is>
          <t>arredondo-05-09-24-tao-te-ching-chaps-63-65-do-non-doing-what-is-at-rest-good-p</t>
        </is>
      </c>
      <c r="J196" s="18" t="inlineStr">
        <is>
          <t>Planned</t>
        </is>
      </c>
      <c r="K196" s="18" t="n"/>
      <c r="L196" s="18" t="n"/>
      <c r="M196" s="20" t="n"/>
    </row>
    <row r="197" ht="15" customHeight="1" s="16">
      <c r="A197" s="18" t="n">
        <v>196</v>
      </c>
      <c r="B197" s="18">
        <f>INT((A197-1)/3)+1</f>
        <v/>
      </c>
      <c r="C197" s="19" t="n">
        <v>66</v>
      </c>
      <c r="D197" s="18" t="inlineStr">
        <is>
          <t>Rivers and Seas Are Lords of the Hundred Valleys</t>
        </is>
      </c>
      <c r="E197" s="18" t="inlineStr">
        <is>
          <t>Reading</t>
        </is>
      </c>
      <c r="F197" s="18">
        <f>TEXT(G197,"ddd")</f>
        <v/>
      </c>
      <c r="G197" s="20">
        <f>Settings!$B$4+(B197-1)*Settings!$B$11+INDEX(Settings!$B$7:$B$9,MATCH(E197,Settings!$A$7:$A$9,0))</f>
        <v/>
      </c>
      <c r="H197" s="21">
        <f>G197-G196</f>
        <v/>
      </c>
      <c r="I197" s="22" t="inlineStr">
        <is>
          <t>arredondo-05-09-24-tao-te-ching-chaps-63-65-do-non-doing-what-is-at-rest-good-p</t>
        </is>
      </c>
      <c r="J197" s="18" t="inlineStr">
        <is>
          <t>Planned</t>
        </is>
      </c>
      <c r="K197" s="18" t="n"/>
      <c r="L197" s="18" t="n"/>
      <c r="M197" s="20" t="n"/>
    </row>
    <row r="198" ht="15" customHeight="1" s="16">
      <c r="A198" s="18" t="n">
        <v>197</v>
      </c>
      <c r="B198" s="18">
        <f>INT((A198-1)/3)+1</f>
        <v/>
      </c>
      <c r="C198" s="19" t="n">
        <v>66</v>
      </c>
      <c r="D198" s="18" t="inlineStr">
        <is>
          <t>Rivers and Seas Are Lords of the Hundred Valleys</t>
        </is>
      </c>
      <c r="E198" s="18" t="inlineStr">
        <is>
          <t>Discussion 1</t>
        </is>
      </c>
      <c r="F198" s="18">
        <f>TEXT(G198,"ddd")</f>
        <v/>
      </c>
      <c r="G198" s="20">
        <f>Settings!$B$4+(B198-1)*Settings!$B$11+INDEX(Settings!$B$7:$B$9,MATCH(E198,Settings!$A$7:$A$9,0))</f>
        <v/>
      </c>
      <c r="H198" s="21">
        <f>G198-G197</f>
        <v/>
      </c>
      <c r="I198" s="22" t="inlineStr">
        <is>
          <t>arredondo-05-09-24-tao-te-ching-chaps-63-65-do-non-doing-what-is-at-rest-good-p</t>
        </is>
      </c>
      <c r="J198" s="18" t="inlineStr">
        <is>
          <t>Planned</t>
        </is>
      </c>
      <c r="K198" s="18" t="n"/>
      <c r="L198" s="18" t="n"/>
      <c r="M198" s="20" t="n"/>
    </row>
    <row r="199" ht="15" customHeight="1" s="16">
      <c r="A199" s="18" t="n">
        <v>198</v>
      </c>
      <c r="B199" s="18">
        <f>INT((A199-1)/3)+1</f>
        <v/>
      </c>
      <c r="C199" s="19" t="n">
        <v>66</v>
      </c>
      <c r="D199" s="18" t="inlineStr">
        <is>
          <t>Rivers and Seas Are Lords of the Hundred Valleys</t>
        </is>
      </c>
      <c r="E199" s="18" t="inlineStr">
        <is>
          <t>Discussion 2</t>
        </is>
      </c>
      <c r="F199" s="18">
        <f>TEXT(G199,"ddd")</f>
        <v/>
      </c>
      <c r="G199" s="20">
        <f>Settings!$B$4+(B199-1)*Settings!$B$11+INDEX(Settings!$B$7:$B$9,MATCH(E199,Settings!$A$7:$A$9,0))</f>
        <v/>
      </c>
      <c r="H199" s="21">
        <f>G199-G198</f>
        <v/>
      </c>
      <c r="I199" s="22" t="inlineStr">
        <is>
          <t>arredondo-05-09-24-tao-te-ching-chaps-63-65-do-non-doing-what-is-at-rest-good-p</t>
        </is>
      </c>
      <c r="J199" s="18" t="inlineStr">
        <is>
          <t>Planned</t>
        </is>
      </c>
      <c r="K199" s="18" t="n"/>
      <c r="L199" s="18" t="n"/>
      <c r="M199" s="20" t="n"/>
    </row>
    <row r="200" ht="15" customHeight="1" s="16">
      <c r="A200" s="18" t="n">
        <v>199</v>
      </c>
      <c r="B200" s="18">
        <f>INT((A200-1)/3)+1</f>
        <v/>
      </c>
      <c r="C200" s="19" t="n">
        <v>67</v>
      </c>
      <c r="D200" s="18" t="inlineStr">
        <is>
          <t>Everyone Says</t>
        </is>
      </c>
      <c r="E200" s="18" t="inlineStr">
        <is>
          <t>Reading</t>
        </is>
      </c>
      <c r="F200" s="18">
        <f>TEXT(G200,"ddd")</f>
        <v/>
      </c>
      <c r="G200" s="20">
        <f>Settings!$B$4+(B200-1)*Settings!$B$11+INDEX(Settings!$B$7:$B$9,MATCH(E200,Settings!$A$7:$A$9,0))</f>
        <v/>
      </c>
      <c r="H200" s="21">
        <f>G200-G199</f>
        <v/>
      </c>
      <c r="I200" s="22" t="inlineStr">
        <is>
          <t>arredondo-05-10-24-tao-te-ching-chaps-66-69-rivers-seas-everyone-says-warriors</t>
        </is>
      </c>
      <c r="J200" s="18" t="inlineStr">
        <is>
          <t>Planned</t>
        </is>
      </c>
      <c r="K200" s="18" t="n"/>
      <c r="L200" s="18" t="n"/>
      <c r="M200" s="20" t="n"/>
    </row>
    <row r="201" ht="15" customHeight="1" s="16">
      <c r="A201" s="18" t="n">
        <v>200</v>
      </c>
      <c r="B201" s="18">
        <f>INT((A201-1)/3)+1</f>
        <v/>
      </c>
      <c r="C201" s="19" t="n">
        <v>67</v>
      </c>
      <c r="D201" s="18" t="inlineStr">
        <is>
          <t>Everyone Says</t>
        </is>
      </c>
      <c r="E201" s="18" t="inlineStr">
        <is>
          <t>Discussion 1</t>
        </is>
      </c>
      <c r="F201" s="18">
        <f>TEXT(G201,"ddd")</f>
        <v/>
      </c>
      <c r="G201" s="20">
        <f>Settings!$B$4+(B201-1)*Settings!$B$11+INDEX(Settings!$B$7:$B$9,MATCH(E201,Settings!$A$7:$A$9,0))</f>
        <v/>
      </c>
      <c r="H201" s="21">
        <f>G201-G200</f>
        <v/>
      </c>
      <c r="I201" s="22" t="inlineStr">
        <is>
          <t>arredondo-05-10-24-tao-te-ching-chaps-66-69-rivers-seas-everyone-says-warriors</t>
        </is>
      </c>
      <c r="J201" s="18" t="inlineStr">
        <is>
          <t>Planned</t>
        </is>
      </c>
      <c r="K201" s="18" t="n"/>
      <c r="L201" s="18" t="n"/>
      <c r="M201" s="20" t="n"/>
    </row>
    <row r="202" ht="15" customHeight="1" s="16">
      <c r="A202" s="18" t="n">
        <v>201</v>
      </c>
      <c r="B202" s="18">
        <f>INT((A202-1)/3)+1</f>
        <v/>
      </c>
      <c r="C202" s="19" t="n">
        <v>67</v>
      </c>
      <c r="D202" s="18" t="inlineStr">
        <is>
          <t>Everyone Says</t>
        </is>
      </c>
      <c r="E202" s="18" t="inlineStr">
        <is>
          <t>Discussion 2</t>
        </is>
      </c>
      <c r="F202" s="18">
        <f>TEXT(G202,"ddd")</f>
        <v/>
      </c>
      <c r="G202" s="20">
        <f>Settings!$B$4+(B202-1)*Settings!$B$11+INDEX(Settings!$B$7:$B$9,MATCH(E202,Settings!$A$7:$A$9,0))</f>
        <v/>
      </c>
      <c r="H202" s="21">
        <f>G202-G201</f>
        <v/>
      </c>
      <c r="I202" s="22" t="inlineStr">
        <is>
          <t>arredondo-05-10-24-tao-te-ching-chaps-66-69-rivers-seas-everyone-says-warriors</t>
        </is>
      </c>
      <c r="J202" s="18" t="inlineStr">
        <is>
          <t>Planned</t>
        </is>
      </c>
      <c r="K202" s="18" t="n"/>
      <c r="L202" s="18" t="n"/>
      <c r="M202" s="20" t="n"/>
    </row>
    <row r="203" ht="15" customHeight="1" s="16">
      <c r="A203" s="18" t="n">
        <v>202</v>
      </c>
      <c r="B203" s="18">
        <f>INT((A203-1)/3)+1</f>
        <v/>
      </c>
      <c r="C203" s="19" t="n">
        <v>68</v>
      </c>
      <c r="D203" s="18" t="inlineStr">
        <is>
          <t>Good Warriors</t>
        </is>
      </c>
      <c r="E203" s="18" t="inlineStr">
        <is>
          <t>Reading</t>
        </is>
      </c>
      <c r="F203" s="18">
        <f>TEXT(G203,"ddd")</f>
        <v/>
      </c>
      <c r="G203" s="20">
        <f>Settings!$B$4+(B203-1)*Settings!$B$11+INDEX(Settings!$B$7:$B$9,MATCH(E203,Settings!$A$7:$A$9,0))</f>
        <v/>
      </c>
      <c r="H203" s="21">
        <f>G203-G202</f>
        <v/>
      </c>
      <c r="I203" s="22" t="inlineStr">
        <is>
          <t>arredondo-05-10-24-tao-te-ching-chaps-66-69-rivers-seas-everyone-says-warriors</t>
        </is>
      </c>
      <c r="J203" s="18" t="inlineStr">
        <is>
          <t>Planned</t>
        </is>
      </c>
      <c r="K203" s="18" t="n"/>
      <c r="L203" s="18" t="n"/>
      <c r="M203" s="20" t="n"/>
    </row>
    <row r="204" ht="15" customHeight="1" s="16">
      <c r="A204" s="18" t="n">
        <v>203</v>
      </c>
      <c r="B204" s="18">
        <f>INT((A204-1)/3)+1</f>
        <v/>
      </c>
      <c r="C204" s="19" t="n">
        <v>68</v>
      </c>
      <c r="D204" s="18" t="inlineStr">
        <is>
          <t>Good Warriors</t>
        </is>
      </c>
      <c r="E204" s="18" t="inlineStr">
        <is>
          <t>Discussion 1</t>
        </is>
      </c>
      <c r="F204" s="18">
        <f>TEXT(G204,"ddd")</f>
        <v/>
      </c>
      <c r="G204" s="20">
        <f>Settings!$B$4+(B204-1)*Settings!$B$11+INDEX(Settings!$B$7:$B$9,MATCH(E204,Settings!$A$7:$A$9,0))</f>
        <v/>
      </c>
      <c r="H204" s="21">
        <f>G204-G203</f>
        <v/>
      </c>
      <c r="I204" s="22" t="inlineStr">
        <is>
          <t>arredondo-05-10-24-tao-te-ching-chaps-66-69-rivers-seas-everyone-says-warriors</t>
        </is>
      </c>
      <c r="J204" s="18" t="inlineStr">
        <is>
          <t>Planned</t>
        </is>
      </c>
      <c r="K204" s="18" t="n"/>
      <c r="L204" s="18" t="n"/>
      <c r="M204" s="20" t="n"/>
    </row>
    <row r="205" ht="15" customHeight="1" s="16">
      <c r="A205" s="18" t="n">
        <v>204</v>
      </c>
      <c r="B205" s="18">
        <f>INT((A205-1)/3)+1</f>
        <v/>
      </c>
      <c r="C205" s="19" t="n">
        <v>68</v>
      </c>
      <c r="D205" s="18" t="inlineStr">
        <is>
          <t>Good Warriors</t>
        </is>
      </c>
      <c r="E205" s="18" t="inlineStr">
        <is>
          <t>Discussion 2</t>
        </is>
      </c>
      <c r="F205" s="18">
        <f>TEXT(G205,"ddd")</f>
        <v/>
      </c>
      <c r="G205" s="20">
        <f>Settings!$B$4+(B205-1)*Settings!$B$11+INDEX(Settings!$B$7:$B$9,MATCH(E205,Settings!$A$7:$A$9,0))</f>
        <v/>
      </c>
      <c r="H205" s="21">
        <f>G205-G204</f>
        <v/>
      </c>
      <c r="I205" s="22" t="inlineStr">
        <is>
          <t>arredondo-05-10-24-tao-te-ching-chaps-66-69-rivers-seas-everyone-says-warriors</t>
        </is>
      </c>
      <c r="J205" s="18" t="inlineStr">
        <is>
          <t>Planned</t>
        </is>
      </c>
      <c r="K205" s="18" t="n"/>
      <c r="L205" s="18" t="n"/>
      <c r="M205" s="20" t="n"/>
    </row>
    <row r="206" ht="15" customHeight="1" s="16">
      <c r="A206" s="18" t="n">
        <v>205</v>
      </c>
      <c r="B206" s="18">
        <f>INT((A206-1)/3)+1</f>
        <v/>
      </c>
      <c r="C206" s="19" t="n">
        <v>69</v>
      </c>
      <c r="D206" s="18" t="inlineStr">
        <is>
          <t>Sayings on Military Operations</t>
        </is>
      </c>
      <c r="E206" s="18" t="inlineStr">
        <is>
          <t>Reading</t>
        </is>
      </c>
      <c r="F206" s="18">
        <f>TEXT(G206,"ddd")</f>
        <v/>
      </c>
      <c r="G206" s="20">
        <f>Settings!$B$4+(B206-1)*Settings!$B$11+INDEX(Settings!$B$7:$B$9,MATCH(E206,Settings!$A$7:$A$9,0))</f>
        <v/>
      </c>
      <c r="H206" s="21">
        <f>G206-G205</f>
        <v/>
      </c>
      <c r="I206" s="22" t="inlineStr">
        <is>
          <t>arredondo-05-10-24-tao-te-ching-chaps-66-69-rivers-seas-everyone-says-warriors</t>
        </is>
      </c>
      <c r="J206" s="18" t="inlineStr">
        <is>
          <t>Planned</t>
        </is>
      </c>
      <c r="K206" s="18" t="n"/>
      <c r="L206" s="18" t="n"/>
      <c r="M206" s="20" t="n"/>
    </row>
    <row r="207" ht="15" customHeight="1" s="16">
      <c r="A207" s="18" t="n">
        <v>206</v>
      </c>
      <c r="B207" s="18">
        <f>INT((A207-1)/3)+1</f>
        <v/>
      </c>
      <c r="C207" s="19" t="n">
        <v>69</v>
      </c>
      <c r="D207" s="18" t="inlineStr">
        <is>
          <t>Sayings on Military Operations</t>
        </is>
      </c>
      <c r="E207" s="18" t="inlineStr">
        <is>
          <t>Discussion 1</t>
        </is>
      </c>
      <c r="F207" s="18">
        <f>TEXT(G207,"ddd")</f>
        <v/>
      </c>
      <c r="G207" s="20">
        <f>Settings!$B$4+(B207-1)*Settings!$B$11+INDEX(Settings!$B$7:$B$9,MATCH(E207,Settings!$A$7:$A$9,0))</f>
        <v/>
      </c>
      <c r="H207" s="21">
        <f>G207-G206</f>
        <v/>
      </c>
      <c r="I207" s="22" t="inlineStr">
        <is>
          <t>arredondo-05-10-24-tao-te-ching-chaps-66-69-rivers-seas-everyone-says-warriors</t>
        </is>
      </c>
      <c r="J207" s="18" t="inlineStr">
        <is>
          <t>Planned</t>
        </is>
      </c>
      <c r="K207" s="18" t="n"/>
      <c r="L207" s="18" t="n"/>
      <c r="M207" s="20" t="n"/>
    </row>
    <row r="208" ht="15" customHeight="1" s="16">
      <c r="A208" s="18" t="n">
        <v>207</v>
      </c>
      <c r="B208" s="18">
        <f>INT((A208-1)/3)+1</f>
        <v/>
      </c>
      <c r="C208" s="19" t="n">
        <v>69</v>
      </c>
      <c r="D208" s="18" t="inlineStr">
        <is>
          <t>Sayings on Military Operations</t>
        </is>
      </c>
      <c r="E208" s="18" t="inlineStr">
        <is>
          <t>Discussion 2</t>
        </is>
      </c>
      <c r="F208" s="18">
        <f>TEXT(G208,"ddd")</f>
        <v/>
      </c>
      <c r="G208" s="20">
        <f>Settings!$B$4+(B208-1)*Settings!$B$11+INDEX(Settings!$B$7:$B$9,MATCH(E208,Settings!$A$7:$A$9,0))</f>
        <v/>
      </c>
      <c r="H208" s="21">
        <f>G208-G207</f>
        <v/>
      </c>
      <c r="I208" s="22" t="inlineStr">
        <is>
          <t>arredondo-05-10-24-tao-te-ching-chaps-66-69-rivers-seas-everyone-says-warriors</t>
        </is>
      </c>
      <c r="J208" s="18" t="inlineStr">
        <is>
          <t>Planned</t>
        </is>
      </c>
      <c r="K208" s="18" t="n"/>
      <c r="L208" s="18" t="n"/>
      <c r="M208" s="20" t="n"/>
    </row>
    <row r="209" ht="15" customHeight="1" s="16">
      <c r="A209" s="18" t="n">
        <v>208</v>
      </c>
      <c r="B209" s="18">
        <f>INT((A209-1)/3)+1</f>
        <v/>
      </c>
      <c r="C209" s="19" t="n">
        <v>70</v>
      </c>
      <c r="D209" s="18" t="inlineStr">
        <is>
          <t>My Sayings Are Very Easy to Recognize</t>
        </is>
      </c>
      <c r="E209" s="18" t="inlineStr">
        <is>
          <t>Reading</t>
        </is>
      </c>
      <c r="F209" s="18">
        <f>TEXT(G209,"ddd")</f>
        <v/>
      </c>
      <c r="G209" s="20">
        <f>Settings!$B$4+(B209-1)*Settings!$B$11+INDEX(Settings!$B$7:$B$9,MATCH(E209,Settings!$A$7:$A$9,0))</f>
        <v/>
      </c>
      <c r="H209" s="21">
        <f>G209-G208</f>
        <v/>
      </c>
      <c r="I209" s="22" t="inlineStr">
        <is>
          <t>arredondo-05-16-24-tao-te-ching-chaps-70-73-my-sayings-knowing-unconsciously-no</t>
        </is>
      </c>
      <c r="J209" s="18" t="inlineStr">
        <is>
          <t>Planned</t>
        </is>
      </c>
      <c r="K209" s="18" t="n"/>
      <c r="L209" s="18" t="n"/>
      <c r="M209" s="20" t="n"/>
    </row>
    <row r="210" ht="15" customHeight="1" s="16">
      <c r="A210" s="18" t="n">
        <v>209</v>
      </c>
      <c r="B210" s="18">
        <f>INT((A210-1)/3)+1</f>
        <v/>
      </c>
      <c r="C210" s="19" t="n">
        <v>70</v>
      </c>
      <c r="D210" s="18" t="inlineStr">
        <is>
          <t>My Sayings Are Very Easy to Recognize</t>
        </is>
      </c>
      <c r="E210" s="18" t="inlineStr">
        <is>
          <t>Discussion 1</t>
        </is>
      </c>
      <c r="F210" s="18">
        <f>TEXT(G210,"ddd")</f>
        <v/>
      </c>
      <c r="G210" s="20">
        <f>Settings!$B$4+(B210-1)*Settings!$B$11+INDEX(Settings!$B$7:$B$9,MATCH(E210,Settings!$A$7:$A$9,0))</f>
        <v/>
      </c>
      <c r="H210" s="21">
        <f>G210-G209</f>
        <v/>
      </c>
      <c r="I210" s="22" t="inlineStr">
        <is>
          <t>arredondo-05-16-24-tao-te-ching-chaps-70-73-my-sayings-knowing-unconsciously-no</t>
        </is>
      </c>
      <c r="J210" s="18" t="inlineStr">
        <is>
          <t>Planned</t>
        </is>
      </c>
      <c r="K210" s="18" t="n"/>
      <c r="L210" s="18" t="n"/>
      <c r="M210" s="20" t="n"/>
    </row>
    <row r="211" ht="15" customHeight="1" s="16">
      <c r="A211" s="18" t="n">
        <v>210</v>
      </c>
      <c r="B211" s="18">
        <f>INT((A211-1)/3)+1</f>
        <v/>
      </c>
      <c r="C211" s="19" t="n">
        <v>70</v>
      </c>
      <c r="D211" s="18" t="inlineStr">
        <is>
          <t>My Sayings Are Very Easy to Recognize</t>
        </is>
      </c>
      <c r="E211" s="18" t="inlineStr">
        <is>
          <t>Discussion 2</t>
        </is>
      </c>
      <c r="F211" s="18">
        <f>TEXT(G211,"ddd")</f>
        <v/>
      </c>
      <c r="G211" s="20">
        <f>Settings!$B$4+(B211-1)*Settings!$B$11+INDEX(Settings!$B$7:$B$9,MATCH(E211,Settings!$A$7:$A$9,0))</f>
        <v/>
      </c>
      <c r="H211" s="21">
        <f>G211-G210</f>
        <v/>
      </c>
      <c r="I211" s="22" t="inlineStr">
        <is>
          <t>arredondo-05-16-24-tao-te-ching-chaps-70-73-my-sayings-knowing-unconsciously-no</t>
        </is>
      </c>
      <c r="J211" s="18" t="inlineStr">
        <is>
          <t>Planned</t>
        </is>
      </c>
      <c r="K211" s="18" t="n"/>
      <c r="L211" s="18" t="n"/>
      <c r="M211" s="20" t="n"/>
    </row>
    <row r="212" ht="15" customHeight="1" s="16">
      <c r="A212" s="18" t="n">
        <v>211</v>
      </c>
      <c r="B212" s="18">
        <f>INT((A212-1)/3)+1</f>
        <v/>
      </c>
      <c r="C212" s="19" t="n">
        <v>71</v>
      </c>
      <c r="D212" s="18" t="inlineStr">
        <is>
          <t>Knowing Unconsciously</t>
        </is>
      </c>
      <c r="E212" s="18" t="inlineStr">
        <is>
          <t>Reading</t>
        </is>
      </c>
      <c r="F212" s="18">
        <f>TEXT(G212,"ddd")</f>
        <v/>
      </c>
      <c r="G212" s="20">
        <f>Settings!$B$4+(B212-1)*Settings!$B$11+INDEX(Settings!$B$7:$B$9,MATCH(E212,Settings!$A$7:$A$9,0))</f>
        <v/>
      </c>
      <c r="H212" s="21">
        <f>G212-G211</f>
        <v/>
      </c>
      <c r="I212" s="22" t="inlineStr">
        <is>
          <t>arredondo-05-16-24-tao-te-ching-chaps-70-73-my-sayings-knowing-unconsciously-no</t>
        </is>
      </c>
      <c r="J212" s="18" t="inlineStr">
        <is>
          <t>Planned</t>
        </is>
      </c>
      <c r="K212" s="18" t="n"/>
      <c r="L212" s="18" t="n"/>
      <c r="M212" s="20" t="n"/>
    </row>
    <row r="213" ht="15" customHeight="1" s="16">
      <c r="A213" s="18" t="n">
        <v>212</v>
      </c>
      <c r="B213" s="18">
        <f>INT((A213-1)/3)+1</f>
        <v/>
      </c>
      <c r="C213" s="19" t="n">
        <v>71</v>
      </c>
      <c r="D213" s="18" t="inlineStr">
        <is>
          <t>Knowing Unconsciously</t>
        </is>
      </c>
      <c r="E213" s="18" t="inlineStr">
        <is>
          <t>Discussion 1</t>
        </is>
      </c>
      <c r="F213" s="18">
        <f>TEXT(G213,"ddd")</f>
        <v/>
      </c>
      <c r="G213" s="20">
        <f>Settings!$B$4+(B213-1)*Settings!$B$11+INDEX(Settings!$B$7:$B$9,MATCH(E213,Settings!$A$7:$A$9,0))</f>
        <v/>
      </c>
      <c r="H213" s="21">
        <f>G213-G212</f>
        <v/>
      </c>
      <c r="I213" s="22" t="inlineStr">
        <is>
          <t>arredondo-05-16-24-tao-te-ching-chaps-70-73-my-sayings-knowing-unconsciously-no</t>
        </is>
      </c>
      <c r="J213" s="18" t="inlineStr">
        <is>
          <t>Planned</t>
        </is>
      </c>
      <c r="K213" s="18" t="n"/>
      <c r="L213" s="18" t="n"/>
      <c r="M213" s="20" t="n"/>
    </row>
    <row r="214" ht="15" customHeight="1" s="16">
      <c r="A214" s="18" t="n">
        <v>213</v>
      </c>
      <c r="B214" s="18">
        <f>INT((A214-1)/3)+1</f>
        <v/>
      </c>
      <c r="C214" s="19" t="n">
        <v>71</v>
      </c>
      <c r="D214" s="18" t="inlineStr">
        <is>
          <t>Knowing Unconsciously</t>
        </is>
      </c>
      <c r="E214" s="18" t="inlineStr">
        <is>
          <t>Discussion 2</t>
        </is>
      </c>
      <c r="F214" s="18">
        <f>TEXT(G214,"ddd")</f>
        <v/>
      </c>
      <c r="G214" s="20">
        <f>Settings!$B$4+(B214-1)*Settings!$B$11+INDEX(Settings!$B$7:$B$9,MATCH(E214,Settings!$A$7:$A$9,0))</f>
        <v/>
      </c>
      <c r="H214" s="21">
        <f>G214-G213</f>
        <v/>
      </c>
      <c r="I214" s="22" t="inlineStr">
        <is>
          <t>arredondo-05-16-24-tao-te-ching-chaps-70-73-my-sayings-knowing-unconsciously-no</t>
        </is>
      </c>
      <c r="J214" s="18" t="inlineStr">
        <is>
          <t>Planned</t>
        </is>
      </c>
      <c r="K214" s="18" t="n"/>
      <c r="L214" s="18" t="n"/>
      <c r="M214" s="20" t="n"/>
    </row>
    <row r="215" ht="15" customHeight="1" s="16">
      <c r="A215" s="18" t="n">
        <v>214</v>
      </c>
      <c r="B215" s="18">
        <f>INT((A215-1)/3)+1</f>
        <v/>
      </c>
      <c r="C215" s="19" t="n">
        <v>72</v>
      </c>
      <c r="D215" s="18" t="inlineStr">
        <is>
          <t>When the People Are Not Awed by Authority</t>
        </is>
      </c>
      <c r="E215" s="18" t="inlineStr">
        <is>
          <t>Reading</t>
        </is>
      </c>
      <c r="F215" s="18">
        <f>TEXT(G215,"ddd")</f>
        <v/>
      </c>
      <c r="G215" s="20">
        <f>Settings!$B$4+(B215-1)*Settings!$B$11+INDEX(Settings!$B$7:$B$9,MATCH(E215,Settings!$A$7:$A$9,0))</f>
        <v/>
      </c>
      <c r="H215" s="21">
        <f>G215-G214</f>
        <v/>
      </c>
      <c r="I215" s="22" t="inlineStr">
        <is>
          <t>arredondo-05-16-24-tao-te-ching-chaps-70-73-my-sayings-knowing-unconsciously-no</t>
        </is>
      </c>
      <c r="J215" s="18" t="inlineStr">
        <is>
          <t>Planned</t>
        </is>
      </c>
      <c r="K215" s="18" t="n"/>
      <c r="L215" s="18" t="n"/>
      <c r="M215" s="20" t="n"/>
    </row>
    <row r="216" ht="15" customHeight="1" s="16">
      <c r="A216" s="18" t="n">
        <v>215</v>
      </c>
      <c r="B216" s="18">
        <f>INT((A216-1)/3)+1</f>
        <v/>
      </c>
      <c r="C216" s="19" t="n">
        <v>72</v>
      </c>
      <c r="D216" s="18" t="inlineStr">
        <is>
          <t>When the People Are Not Awed by Authority</t>
        </is>
      </c>
      <c r="E216" s="18" t="inlineStr">
        <is>
          <t>Discussion 1</t>
        </is>
      </c>
      <c r="F216" s="18">
        <f>TEXT(G216,"ddd")</f>
        <v/>
      </c>
      <c r="G216" s="20">
        <f>Settings!$B$4+(B216-1)*Settings!$B$11+INDEX(Settings!$B$7:$B$9,MATCH(E216,Settings!$A$7:$A$9,0))</f>
        <v/>
      </c>
      <c r="H216" s="21">
        <f>G216-G215</f>
        <v/>
      </c>
      <c r="I216" s="22" t="inlineStr">
        <is>
          <t>arredondo-05-16-24-tao-te-ching-chaps-70-73-my-sayings-knowing-unconsciously-no</t>
        </is>
      </c>
      <c r="J216" s="18" t="inlineStr">
        <is>
          <t>Planned</t>
        </is>
      </c>
      <c r="K216" s="18" t="n"/>
      <c r="L216" s="18" t="n"/>
      <c r="M216" s="20" t="n"/>
    </row>
    <row r="217" ht="15" customHeight="1" s="16">
      <c r="A217" s="18" t="n">
        <v>216</v>
      </c>
      <c r="B217" s="18">
        <f>INT((A217-1)/3)+1</f>
        <v/>
      </c>
      <c r="C217" s="19" t="n">
        <v>72</v>
      </c>
      <c r="D217" s="18" t="inlineStr">
        <is>
          <t>When the People Are Not Awed by Authority</t>
        </is>
      </c>
      <c r="E217" s="18" t="inlineStr">
        <is>
          <t>Discussion 2</t>
        </is>
      </c>
      <c r="F217" s="18">
        <f>TEXT(G217,"ddd")</f>
        <v/>
      </c>
      <c r="G217" s="20">
        <f>Settings!$B$4+(B217-1)*Settings!$B$11+INDEX(Settings!$B$7:$B$9,MATCH(E217,Settings!$A$7:$A$9,0))</f>
        <v/>
      </c>
      <c r="H217" s="21">
        <f>G217-G216</f>
        <v/>
      </c>
      <c r="I217" s="22" t="inlineStr">
        <is>
          <t>arredondo-05-16-24-tao-te-ching-chaps-70-73-my-sayings-knowing-unconsciously-no</t>
        </is>
      </c>
      <c r="J217" s="18" t="inlineStr">
        <is>
          <t>Planned</t>
        </is>
      </c>
      <c r="K217" s="18" t="n"/>
      <c r="L217" s="18" t="n"/>
      <c r="M217" s="20" t="n"/>
    </row>
    <row r="218" ht="15" customHeight="1" s="16">
      <c r="A218" s="18" t="n">
        <v>217</v>
      </c>
      <c r="B218" s="18">
        <f>INT((A218-1)/3)+1</f>
        <v/>
      </c>
      <c r="C218" s="19" t="n">
        <v>73</v>
      </c>
      <c r="D218" s="18" t="inlineStr">
        <is>
          <t>Boldness in Daring Means Killing</t>
        </is>
      </c>
      <c r="E218" s="18" t="inlineStr">
        <is>
          <t>Reading</t>
        </is>
      </c>
      <c r="F218" s="18">
        <f>TEXT(G218,"ddd")</f>
        <v/>
      </c>
      <c r="G218" s="20">
        <f>Settings!$B$4+(B218-1)*Settings!$B$11+INDEX(Settings!$B$7:$B$9,MATCH(E218,Settings!$A$7:$A$9,0))</f>
        <v/>
      </c>
      <c r="H218" s="21">
        <f>G218-G217</f>
        <v/>
      </c>
      <c r="I218" s="22" t="inlineStr">
        <is>
          <t>arredondo-05-16-24-tao-te-ching-chaps-70-73-my-sayings-knowing-unconsciously-no</t>
        </is>
      </c>
      <c r="J218" s="18" t="inlineStr">
        <is>
          <t>Planned</t>
        </is>
      </c>
      <c r="K218" s="18" t="n"/>
      <c r="L218" s="18" t="n"/>
      <c r="M218" s="20" t="n"/>
    </row>
    <row r="219" ht="15" customHeight="1" s="16">
      <c r="A219" s="18" t="n">
        <v>218</v>
      </c>
      <c r="B219" s="18">
        <f>INT((A219-1)/3)+1</f>
        <v/>
      </c>
      <c r="C219" s="19" t="n">
        <v>73</v>
      </c>
      <c r="D219" s="18" t="inlineStr">
        <is>
          <t>Boldness in Daring Means Killing</t>
        </is>
      </c>
      <c r="E219" s="18" t="inlineStr">
        <is>
          <t>Discussion 1</t>
        </is>
      </c>
      <c r="F219" s="18">
        <f>TEXT(G219,"ddd")</f>
        <v/>
      </c>
      <c r="G219" s="20">
        <f>Settings!$B$4+(B219-1)*Settings!$B$11+INDEX(Settings!$B$7:$B$9,MATCH(E219,Settings!$A$7:$A$9,0))</f>
        <v/>
      </c>
      <c r="H219" s="21">
        <f>G219-G218</f>
        <v/>
      </c>
      <c r="I219" s="22" t="inlineStr">
        <is>
          <t>arredondo-05-16-24-tao-te-ching-chaps-70-73-my-sayings-knowing-unconsciously-no</t>
        </is>
      </c>
      <c r="J219" s="18" t="inlineStr">
        <is>
          <t>Planned</t>
        </is>
      </c>
      <c r="K219" s="18" t="n"/>
      <c r="L219" s="18" t="n"/>
      <c r="M219" s="20" t="n"/>
    </row>
    <row r="220" ht="15" customHeight="1" s="16">
      <c r="A220" s="18" t="n">
        <v>219</v>
      </c>
      <c r="B220" s="18">
        <f>INT((A220-1)/3)+1</f>
        <v/>
      </c>
      <c r="C220" s="19" t="n">
        <v>73</v>
      </c>
      <c r="D220" s="18" t="inlineStr">
        <is>
          <t>Boldness in Daring Means Killing</t>
        </is>
      </c>
      <c r="E220" s="18" t="inlineStr">
        <is>
          <t>Discussion 2</t>
        </is>
      </c>
      <c r="F220" s="18">
        <f>TEXT(G220,"ddd")</f>
        <v/>
      </c>
      <c r="G220" s="20">
        <f>Settings!$B$4+(B220-1)*Settings!$B$11+INDEX(Settings!$B$7:$B$9,MATCH(E220,Settings!$A$7:$A$9,0))</f>
        <v/>
      </c>
      <c r="H220" s="21">
        <f>G220-G219</f>
        <v/>
      </c>
      <c r="I220" s="22" t="inlineStr">
        <is>
          <t>arredondo-05-16-24-tao-te-ching-chaps-70-73-my-sayings-knowing-unconsciously-no</t>
        </is>
      </c>
      <c r="J220" s="18" t="inlineStr">
        <is>
          <t>Planned</t>
        </is>
      </c>
      <c r="K220" s="18" t="n"/>
      <c r="L220" s="18" t="n"/>
      <c r="M220" s="20" t="n"/>
    </row>
    <row r="221" ht="15" customHeight="1" s="16">
      <c r="A221" s="18" t="n">
        <v>220</v>
      </c>
      <c r="B221" s="18">
        <f>INT((A221-1)/3)+1</f>
        <v/>
      </c>
      <c r="C221" s="19" t="n">
        <v>74</v>
      </c>
      <c r="D221" s="18" t="inlineStr">
        <is>
          <t>If People Usually Don't Fear Death</t>
        </is>
      </c>
      <c r="E221" s="18" t="inlineStr">
        <is>
          <t>Reading</t>
        </is>
      </c>
      <c r="F221" s="18">
        <f>TEXT(G221,"ddd")</f>
        <v/>
      </c>
      <c r="G221" s="20">
        <f>Settings!$B$4+(B221-1)*Settings!$B$11+INDEX(Settings!$B$7:$B$9,MATCH(E221,Settings!$A$7:$A$9,0))</f>
        <v/>
      </c>
      <c r="H221" s="21">
        <f>G221-G220</f>
        <v/>
      </c>
      <c r="I221" s="22" t="inlineStr">
        <is>
          <t>arredondo-05-16-24-tao-te-ching-chaps-70-73-my-sayings-knowing-unconsciously-no</t>
        </is>
      </c>
      <c r="J221" s="18" t="inlineStr">
        <is>
          <t>Planned</t>
        </is>
      </c>
      <c r="K221" s="18" t="n"/>
      <c r="L221" s="18" t="n"/>
      <c r="M221" s="20" t="n"/>
    </row>
    <row r="222" ht="15" customHeight="1" s="16">
      <c r="A222" s="18" t="n">
        <v>221</v>
      </c>
      <c r="B222" s="18">
        <f>INT((A222-1)/3)+1</f>
        <v/>
      </c>
      <c r="C222" s="19" t="n">
        <v>74</v>
      </c>
      <c r="D222" s="18" t="inlineStr">
        <is>
          <t>If People Usually Don't Fear Death</t>
        </is>
      </c>
      <c r="E222" s="18" t="inlineStr">
        <is>
          <t>Discussion 1</t>
        </is>
      </c>
      <c r="F222" s="18">
        <f>TEXT(G222,"ddd")</f>
        <v/>
      </c>
      <c r="G222" s="20">
        <f>Settings!$B$4+(B222-1)*Settings!$B$11+INDEX(Settings!$B$7:$B$9,MATCH(E222,Settings!$A$7:$A$9,0))</f>
        <v/>
      </c>
      <c r="H222" s="21">
        <f>G222-G221</f>
        <v/>
      </c>
      <c r="I222" s="22" t="inlineStr">
        <is>
          <t>arredondo-05-16-24-tao-te-ching-chaps-70-73-my-sayings-knowing-unconsciously-no</t>
        </is>
      </c>
      <c r="J222" s="18" t="inlineStr">
        <is>
          <t>Planned</t>
        </is>
      </c>
      <c r="K222" s="18" t="n"/>
      <c r="L222" s="18" t="n"/>
      <c r="M222" s="20" t="n"/>
    </row>
    <row r="223" ht="15" customHeight="1" s="16">
      <c r="A223" s="18" t="n">
        <v>222</v>
      </c>
      <c r="B223" s="18">
        <f>INT((A223-1)/3)+1</f>
        <v/>
      </c>
      <c r="C223" s="19" t="n">
        <v>74</v>
      </c>
      <c r="D223" s="18" t="inlineStr">
        <is>
          <t>If People Usually Don't Fear Death</t>
        </is>
      </c>
      <c r="E223" s="18" t="inlineStr">
        <is>
          <t>Discussion 2</t>
        </is>
      </c>
      <c r="F223" s="18">
        <f>TEXT(G223,"ddd")</f>
        <v/>
      </c>
      <c r="G223" s="20">
        <f>Settings!$B$4+(B223-1)*Settings!$B$11+INDEX(Settings!$B$7:$B$9,MATCH(E223,Settings!$A$7:$A$9,0))</f>
        <v/>
      </c>
      <c r="H223" s="21">
        <f>G223-G222</f>
        <v/>
      </c>
      <c r="I223" s="22" t="inlineStr">
        <is>
          <t>arredondo-05-16-24-tao-te-ching-chaps-70-73-my-sayings-knowing-unconsciously-no</t>
        </is>
      </c>
      <c r="J223" s="18" t="inlineStr">
        <is>
          <t>Planned</t>
        </is>
      </c>
      <c r="K223" s="18" t="n"/>
      <c r="L223" s="18" t="n"/>
      <c r="M223" s="20" t="n"/>
    </row>
    <row r="224" ht="15" customHeight="1" s="16">
      <c r="A224" s="18" t="n">
        <v>223</v>
      </c>
      <c r="B224" s="18">
        <f>INT((A224-1)/3)+1</f>
        <v/>
      </c>
      <c r="C224" s="19" t="n">
        <v>75</v>
      </c>
      <c r="D224" s="18" t="inlineStr">
        <is>
          <t>People's Starvation</t>
        </is>
      </c>
      <c r="E224" s="18" t="inlineStr">
        <is>
          <t>Reading</t>
        </is>
      </c>
      <c r="F224" s="18">
        <f>TEXT(G224,"ddd")</f>
        <v/>
      </c>
      <c r="G224" s="20">
        <f>Settings!$B$4+(B224-1)*Settings!$B$11+INDEX(Settings!$B$7:$B$9,MATCH(E224,Settings!$A$7:$A$9,0))</f>
        <v/>
      </c>
      <c r="H224" s="21">
        <f>G224-G223</f>
        <v/>
      </c>
      <c r="I224" s="22" t="inlineStr">
        <is>
          <t>arredondo-05-16-24-tao-te-ching-chaps-75-78-starvation-people-are-born-way-of-h</t>
        </is>
      </c>
      <c r="J224" s="18" t="inlineStr">
        <is>
          <t>Planned</t>
        </is>
      </c>
      <c r="K224" s="18" t="n"/>
      <c r="L224" s="18" t="n"/>
      <c r="M224" s="20" t="n"/>
    </row>
    <row r="225" ht="15" customHeight="1" s="16">
      <c r="A225" s="18" t="n">
        <v>224</v>
      </c>
      <c r="B225" s="18">
        <f>INT((A225-1)/3)+1</f>
        <v/>
      </c>
      <c r="C225" s="19" t="n">
        <v>75</v>
      </c>
      <c r="D225" s="18" t="inlineStr">
        <is>
          <t>People's Starvation</t>
        </is>
      </c>
      <c r="E225" s="18" t="inlineStr">
        <is>
          <t>Discussion 1</t>
        </is>
      </c>
      <c r="F225" s="18">
        <f>TEXT(G225,"ddd")</f>
        <v/>
      </c>
      <c r="G225" s="20">
        <f>Settings!$B$4+(B225-1)*Settings!$B$11+INDEX(Settings!$B$7:$B$9,MATCH(E225,Settings!$A$7:$A$9,0))</f>
        <v/>
      </c>
      <c r="H225" s="21">
        <f>G225-G224</f>
        <v/>
      </c>
      <c r="I225" s="22" t="inlineStr">
        <is>
          <t>arredondo-05-16-24-tao-te-ching-chaps-75-78-starvation-people-are-born-way-of-h</t>
        </is>
      </c>
      <c r="J225" s="18" t="inlineStr">
        <is>
          <t>Planned</t>
        </is>
      </c>
      <c r="K225" s="18" t="n"/>
      <c r="L225" s="18" t="n"/>
      <c r="M225" s="20" t="n"/>
    </row>
    <row r="226" ht="15" customHeight="1" s="16">
      <c r="A226" s="18" t="n">
        <v>225</v>
      </c>
      <c r="B226" s="18">
        <f>INT((A226-1)/3)+1</f>
        <v/>
      </c>
      <c r="C226" s="19" t="n">
        <v>75</v>
      </c>
      <c r="D226" s="18" t="inlineStr">
        <is>
          <t>People's Starvation</t>
        </is>
      </c>
      <c r="E226" s="18" t="inlineStr">
        <is>
          <t>Discussion 2</t>
        </is>
      </c>
      <c r="F226" s="18">
        <f>TEXT(G226,"ddd")</f>
        <v/>
      </c>
      <c r="G226" s="20">
        <f>Settings!$B$4+(B226-1)*Settings!$B$11+INDEX(Settings!$B$7:$B$9,MATCH(E226,Settings!$A$7:$A$9,0))</f>
        <v/>
      </c>
      <c r="H226" s="21">
        <f>G226-G225</f>
        <v/>
      </c>
      <c r="I226" s="22" t="inlineStr">
        <is>
          <t>arredondo-05-16-24-tao-te-ching-chaps-75-78-starvation-people-are-born-way-of-h</t>
        </is>
      </c>
      <c r="J226" s="18" t="inlineStr">
        <is>
          <t>Planned</t>
        </is>
      </c>
      <c r="K226" s="18" t="n"/>
      <c r="L226" s="18" t="n"/>
      <c r="M226" s="20" t="n"/>
    </row>
    <row r="227" ht="15" customHeight="1" s="16">
      <c r="A227" s="18" t="n">
        <v>226</v>
      </c>
      <c r="B227" s="18">
        <f>INT((A227-1)/3)+1</f>
        <v/>
      </c>
      <c r="C227" s="19" t="n">
        <v>76</v>
      </c>
      <c r="D227" s="18" t="inlineStr">
        <is>
          <t>When People Are Born</t>
        </is>
      </c>
      <c r="E227" s="18" t="inlineStr">
        <is>
          <t>Reading</t>
        </is>
      </c>
      <c r="F227" s="18">
        <f>TEXT(G227,"ddd")</f>
        <v/>
      </c>
      <c r="G227" s="20">
        <f>Settings!$B$4+(B227-1)*Settings!$B$11+INDEX(Settings!$B$7:$B$9,MATCH(E227,Settings!$A$7:$A$9,0))</f>
        <v/>
      </c>
      <c r="H227" s="21">
        <f>G227-G226</f>
        <v/>
      </c>
      <c r="I227" s="22" t="inlineStr">
        <is>
          <t>arredondo-05-16-24-tao-te-ching-chaps-75-78-starvation-people-are-born-way-of-h</t>
        </is>
      </c>
      <c r="J227" s="18" t="inlineStr">
        <is>
          <t>Planned</t>
        </is>
      </c>
      <c r="K227" s="18" t="n"/>
      <c r="L227" s="18" t="n"/>
      <c r="M227" s="20" t="n"/>
    </row>
    <row r="228" ht="15" customHeight="1" s="16">
      <c r="A228" s="18" t="n">
        <v>227</v>
      </c>
      <c r="B228" s="18">
        <f>INT((A228-1)/3)+1</f>
        <v/>
      </c>
      <c r="C228" s="19" t="n">
        <v>76</v>
      </c>
      <c r="D228" s="18" t="inlineStr">
        <is>
          <t>When People Are Born</t>
        </is>
      </c>
      <c r="E228" s="18" t="inlineStr">
        <is>
          <t>Discussion 1</t>
        </is>
      </c>
      <c r="F228" s="18">
        <f>TEXT(G228,"ddd")</f>
        <v/>
      </c>
      <c r="G228" s="20">
        <f>Settings!$B$4+(B228-1)*Settings!$B$11+INDEX(Settings!$B$7:$B$9,MATCH(E228,Settings!$A$7:$A$9,0))</f>
        <v/>
      </c>
      <c r="H228" s="21">
        <f>G228-G227</f>
        <v/>
      </c>
      <c r="I228" s="22" t="inlineStr">
        <is>
          <t>arredondo-05-16-24-tao-te-ching-chaps-75-78-starvation-people-are-born-way-of-h</t>
        </is>
      </c>
      <c r="J228" s="18" t="inlineStr">
        <is>
          <t>Planned</t>
        </is>
      </c>
      <c r="K228" s="18" t="n"/>
      <c r="L228" s="18" t="n"/>
      <c r="M228" s="20" t="n"/>
    </row>
    <row r="229" ht="15" customHeight="1" s="16">
      <c r="A229" s="18" t="n">
        <v>228</v>
      </c>
      <c r="B229" s="18">
        <f>INT((A229-1)/3)+1</f>
        <v/>
      </c>
      <c r="C229" s="19" t="n">
        <v>76</v>
      </c>
      <c r="D229" s="18" t="inlineStr">
        <is>
          <t>When People Are Born</t>
        </is>
      </c>
      <c r="E229" s="18" t="inlineStr">
        <is>
          <t>Discussion 2</t>
        </is>
      </c>
      <c r="F229" s="18">
        <f>TEXT(G229,"ddd")</f>
        <v/>
      </c>
      <c r="G229" s="20">
        <f>Settings!$B$4+(B229-1)*Settings!$B$11+INDEX(Settings!$B$7:$B$9,MATCH(E229,Settings!$A$7:$A$9,0))</f>
        <v/>
      </c>
      <c r="H229" s="21">
        <f>G229-G228</f>
        <v/>
      </c>
      <c r="I229" s="22" t="inlineStr">
        <is>
          <t>arredondo-05-16-24-tao-te-ching-chaps-75-78-starvation-people-are-born-way-of-h</t>
        </is>
      </c>
      <c r="J229" s="18" t="inlineStr">
        <is>
          <t>Planned</t>
        </is>
      </c>
      <c r="K229" s="18" t="n"/>
      <c r="L229" s="18" t="n"/>
      <c r="M229" s="20" t="n"/>
    </row>
    <row r="230" ht="15" customHeight="1" s="16">
      <c r="A230" s="18" t="n">
        <v>229</v>
      </c>
      <c r="B230" s="18">
        <f>INT((A230-1)/3)+1</f>
        <v/>
      </c>
      <c r="C230" s="19" t="n">
        <v>77</v>
      </c>
      <c r="D230" s="18" t="inlineStr">
        <is>
          <t>The Way of Heaven</t>
        </is>
      </c>
      <c r="E230" s="18" t="inlineStr">
        <is>
          <t>Reading</t>
        </is>
      </c>
      <c r="F230" s="18">
        <f>TEXT(G230,"ddd")</f>
        <v/>
      </c>
      <c r="G230" s="20">
        <f>Settings!$B$4+(B230-1)*Settings!$B$11+INDEX(Settings!$B$7:$B$9,MATCH(E230,Settings!$A$7:$A$9,0))</f>
        <v/>
      </c>
      <c r="H230" s="21">
        <f>G230-G229</f>
        <v/>
      </c>
      <c r="I230" s="22" t="inlineStr">
        <is>
          <t>arredondo-05-16-24-tao-te-ching-chaps-75-78-starvation-people-are-born-way-of-h</t>
        </is>
      </c>
      <c r="J230" s="18" t="inlineStr">
        <is>
          <t>Planned</t>
        </is>
      </c>
      <c r="K230" s="18" t="n"/>
      <c r="L230" s="18" t="n"/>
      <c r="M230" s="20" t="n"/>
    </row>
    <row r="231" ht="15" customHeight="1" s="16">
      <c r="A231" s="18" t="n">
        <v>230</v>
      </c>
      <c r="B231" s="18">
        <f>INT((A231-1)/3)+1</f>
        <v/>
      </c>
      <c r="C231" s="19" t="n">
        <v>77</v>
      </c>
      <c r="D231" s="18" t="inlineStr">
        <is>
          <t>The Way of Heaven</t>
        </is>
      </c>
      <c r="E231" s="18" t="inlineStr">
        <is>
          <t>Discussion 1</t>
        </is>
      </c>
      <c r="F231" s="18">
        <f>TEXT(G231,"ddd")</f>
        <v/>
      </c>
      <c r="G231" s="20">
        <f>Settings!$B$4+(B231-1)*Settings!$B$11+INDEX(Settings!$B$7:$B$9,MATCH(E231,Settings!$A$7:$A$9,0))</f>
        <v/>
      </c>
      <c r="H231" s="21">
        <f>G231-G230</f>
        <v/>
      </c>
      <c r="I231" s="22" t="inlineStr">
        <is>
          <t>arredondo-05-16-24-tao-te-ching-chaps-75-78-starvation-people-are-born-way-of-h</t>
        </is>
      </c>
      <c r="J231" s="18" t="inlineStr">
        <is>
          <t>Planned</t>
        </is>
      </c>
      <c r="K231" s="18" t="n"/>
      <c r="L231" s="18" t="n"/>
      <c r="M231" s="20" t="n"/>
    </row>
    <row r="232" ht="15" customHeight="1" s="16">
      <c r="A232" s="18" t="n">
        <v>231</v>
      </c>
      <c r="B232" s="18">
        <f>INT((A232-1)/3)+1</f>
        <v/>
      </c>
      <c r="C232" s="19" t="n">
        <v>77</v>
      </c>
      <c r="D232" s="18" t="inlineStr">
        <is>
          <t>The Way of Heaven</t>
        </is>
      </c>
      <c r="E232" s="18" t="inlineStr">
        <is>
          <t>Discussion 2</t>
        </is>
      </c>
      <c r="F232" s="18">
        <f>TEXT(G232,"ddd")</f>
        <v/>
      </c>
      <c r="G232" s="20">
        <f>Settings!$B$4+(B232-1)*Settings!$B$11+INDEX(Settings!$B$7:$B$9,MATCH(E232,Settings!$A$7:$A$9,0))</f>
        <v/>
      </c>
      <c r="H232" s="21">
        <f>G232-G231</f>
        <v/>
      </c>
      <c r="I232" s="22" t="inlineStr">
        <is>
          <t>arredondo-05-16-24-tao-te-ching-chaps-75-78-starvation-people-are-born-way-of-h</t>
        </is>
      </c>
      <c r="J232" s="18" t="inlineStr">
        <is>
          <t>Planned</t>
        </is>
      </c>
      <c r="K232" s="18" t="n"/>
      <c r="L232" s="18" t="n"/>
      <c r="M232" s="20" t="n"/>
    </row>
    <row r="233" ht="15" customHeight="1" s="16">
      <c r="A233" s="18" t="n">
        <v>232</v>
      </c>
      <c r="B233" s="18">
        <f>INT((A233-1)/3)+1</f>
        <v/>
      </c>
      <c r="C233" s="19" t="n">
        <v>78</v>
      </c>
      <c r="D233" s="18" t="inlineStr">
        <is>
          <t>The Most Flexible Thing in the World</t>
        </is>
      </c>
      <c r="E233" s="18" t="inlineStr">
        <is>
          <t>Reading</t>
        </is>
      </c>
      <c r="F233" s="18">
        <f>TEXT(G233,"ddd")</f>
        <v/>
      </c>
      <c r="G233" s="20">
        <f>Settings!$B$4+(B233-1)*Settings!$B$11+INDEX(Settings!$B$7:$B$9,MATCH(E233,Settings!$A$7:$A$9,0))</f>
        <v/>
      </c>
      <c r="H233" s="21">
        <f>G233-G232</f>
        <v/>
      </c>
      <c r="I233" s="22" t="inlineStr">
        <is>
          <t>arredondo-05-16-24-tao-te-ching-chaps-75-78-starvation-people-are-born-way-of-h</t>
        </is>
      </c>
      <c r="J233" s="18" t="inlineStr">
        <is>
          <t>Planned</t>
        </is>
      </c>
      <c r="K233" s="18" t="n"/>
      <c r="L233" s="18" t="n"/>
      <c r="M233" s="20" t="n"/>
    </row>
    <row r="234" ht="15" customHeight="1" s="16">
      <c r="A234" s="18" t="n">
        <v>233</v>
      </c>
      <c r="B234" s="18">
        <f>INT((A234-1)/3)+1</f>
        <v/>
      </c>
      <c r="C234" s="19" t="n">
        <v>78</v>
      </c>
      <c r="D234" s="18" t="inlineStr">
        <is>
          <t>The Most Flexible Thing in the World</t>
        </is>
      </c>
      <c r="E234" s="18" t="inlineStr">
        <is>
          <t>Discussion 1</t>
        </is>
      </c>
      <c r="F234" s="18">
        <f>TEXT(G234,"ddd")</f>
        <v/>
      </c>
      <c r="G234" s="20">
        <f>Settings!$B$4+(B234-1)*Settings!$B$11+INDEX(Settings!$B$7:$B$9,MATCH(E234,Settings!$A$7:$A$9,0))</f>
        <v/>
      </c>
      <c r="H234" s="21">
        <f>G234-G233</f>
        <v/>
      </c>
      <c r="I234" s="22" t="inlineStr">
        <is>
          <t>arredondo-05-16-24-tao-te-ching-chaps-75-78-starvation-people-are-born-way-of-h</t>
        </is>
      </c>
      <c r="J234" s="18" t="inlineStr">
        <is>
          <t>Planned</t>
        </is>
      </c>
      <c r="K234" s="18" t="n"/>
      <c r="L234" s="18" t="n"/>
      <c r="M234" s="20" t="n"/>
    </row>
    <row r="235" ht="15" customHeight="1" s="16">
      <c r="A235" s="18" t="n">
        <v>234</v>
      </c>
      <c r="B235" s="18">
        <f>INT((A235-1)/3)+1</f>
        <v/>
      </c>
      <c r="C235" s="19" t="n">
        <v>78</v>
      </c>
      <c r="D235" s="18" t="inlineStr">
        <is>
          <t>The Most Flexible Thing in the World</t>
        </is>
      </c>
      <c r="E235" s="18" t="inlineStr">
        <is>
          <t>Discussion 2</t>
        </is>
      </c>
      <c r="F235" s="18">
        <f>TEXT(G235,"ddd")</f>
        <v/>
      </c>
      <c r="G235" s="20">
        <f>Settings!$B$4+(B235-1)*Settings!$B$11+INDEX(Settings!$B$7:$B$9,MATCH(E235,Settings!$A$7:$A$9,0))</f>
        <v/>
      </c>
      <c r="H235" s="21">
        <f>G235-G234</f>
        <v/>
      </c>
      <c r="I235" s="22" t="inlineStr">
        <is>
          <t>arredondo-05-16-24-tao-te-ching-chaps-75-78-starvation-people-are-born-way-of-h</t>
        </is>
      </c>
      <c r="J235" s="18" t="inlineStr">
        <is>
          <t>Planned</t>
        </is>
      </c>
      <c r="K235" s="18" t="n"/>
      <c r="L235" s="18" t="n"/>
      <c r="M235" s="20" t="n"/>
    </row>
    <row r="236" ht="15" customHeight="1" s="16">
      <c r="A236" s="18" t="n">
        <v>235</v>
      </c>
      <c r="B236" s="18">
        <f>INT((A236-1)/3)+1</f>
        <v/>
      </c>
      <c r="C236" s="19" t="n">
        <v>79</v>
      </c>
      <c r="D236" s="18" t="inlineStr">
        <is>
          <t>Harmonize Bitter Enemies</t>
        </is>
      </c>
      <c r="E236" s="18" t="inlineStr">
        <is>
          <t>Reading</t>
        </is>
      </c>
      <c r="F236" s="18">
        <f>TEXT(G236,"ddd")</f>
        <v/>
      </c>
      <c r="G236" s="20">
        <f>Settings!$B$4+(B236-1)*Settings!$B$11+INDEX(Settings!$B$7:$B$9,MATCH(E236,Settings!$A$7:$A$9,0))</f>
        <v/>
      </c>
      <c r="H236" s="21">
        <f>G236-G235</f>
        <v/>
      </c>
      <c r="I236" s="22" t="inlineStr">
        <is>
          <t>arredondo-05-29-24-tao-te-ching-chaps-79-81-bitter-enemies-a-small-state-true-w</t>
        </is>
      </c>
      <c r="J236" s="18" t="inlineStr">
        <is>
          <t>Planned</t>
        </is>
      </c>
      <c r="K236" s="18" t="n"/>
      <c r="L236" s="18" t="n"/>
      <c r="M236" s="20" t="n"/>
    </row>
    <row r="237" ht="15" customHeight="1" s="16">
      <c r="A237" s="18" t="n">
        <v>236</v>
      </c>
      <c r="B237" s="18">
        <f>INT((A237-1)/3)+1</f>
        <v/>
      </c>
      <c r="C237" s="19" t="n">
        <v>79</v>
      </c>
      <c r="D237" s="18" t="inlineStr">
        <is>
          <t>Harmonize Bitter Enemies</t>
        </is>
      </c>
      <c r="E237" s="18" t="inlineStr">
        <is>
          <t>Discussion 1</t>
        </is>
      </c>
      <c r="F237" s="18">
        <f>TEXT(G237,"ddd")</f>
        <v/>
      </c>
      <c r="G237" s="20">
        <f>Settings!$B$4+(B237-1)*Settings!$B$11+INDEX(Settings!$B$7:$B$9,MATCH(E237,Settings!$A$7:$A$9,0))</f>
        <v/>
      </c>
      <c r="H237" s="21">
        <f>G237-G236</f>
        <v/>
      </c>
      <c r="I237" s="22" t="inlineStr">
        <is>
          <t>arredondo-05-29-24-tao-te-ching-chaps-79-81-bitter-enemies-a-small-state-true-w</t>
        </is>
      </c>
      <c r="J237" s="18" t="inlineStr">
        <is>
          <t>Planned</t>
        </is>
      </c>
      <c r="K237" s="18" t="n"/>
      <c r="L237" s="18" t="n"/>
      <c r="M237" s="20" t="n"/>
    </row>
    <row r="238" ht="15" customHeight="1" s="16">
      <c r="A238" s="18" t="n">
        <v>237</v>
      </c>
      <c r="B238" s="18">
        <f>INT((A238-1)/3)+1</f>
        <v/>
      </c>
      <c r="C238" s="19" t="n">
        <v>79</v>
      </c>
      <c r="D238" s="18" t="inlineStr">
        <is>
          <t>Harmonize Bitter Enemies</t>
        </is>
      </c>
      <c r="E238" s="18" t="inlineStr">
        <is>
          <t>Discussion 2</t>
        </is>
      </c>
      <c r="F238" s="18">
        <f>TEXT(G238,"ddd")</f>
        <v/>
      </c>
      <c r="G238" s="20">
        <f>Settings!$B$4+(B238-1)*Settings!$B$11+INDEX(Settings!$B$7:$B$9,MATCH(E238,Settings!$A$7:$A$9,0))</f>
        <v/>
      </c>
      <c r="H238" s="21">
        <f>G238-G237</f>
        <v/>
      </c>
      <c r="I238" s="22" t="inlineStr">
        <is>
          <t>arredondo-05-29-24-tao-te-ching-chaps-79-81-bitter-enemies-a-small-state-true-w</t>
        </is>
      </c>
      <c r="J238" s="18" t="inlineStr">
        <is>
          <t>Planned</t>
        </is>
      </c>
      <c r="K238" s="18" t="n"/>
      <c r="L238" s="18" t="n"/>
      <c r="M238" s="20" t="n"/>
    </row>
    <row r="239" ht="15" customHeight="1" s="16">
      <c r="A239" s="18" t="n">
        <v>238</v>
      </c>
      <c r="B239" s="18">
        <f>INT((A239-1)/3)+1</f>
        <v/>
      </c>
      <c r="C239" s="19" t="n">
        <v>80</v>
      </c>
      <c r="D239" s="18" t="inlineStr">
        <is>
          <t>A Small State Has Few People</t>
        </is>
      </c>
      <c r="E239" s="18" t="inlineStr">
        <is>
          <t>Reading</t>
        </is>
      </c>
      <c r="F239" s="18">
        <f>TEXT(G239,"ddd")</f>
        <v/>
      </c>
      <c r="G239" s="20">
        <f>Settings!$B$4+(B239-1)*Settings!$B$11+INDEX(Settings!$B$7:$B$9,MATCH(E239,Settings!$A$7:$A$9,0))</f>
        <v/>
      </c>
      <c r="H239" s="21">
        <f>G239-G238</f>
        <v/>
      </c>
      <c r="I239" s="22" t="inlineStr">
        <is>
          <t>arredondo-05-29-24-tao-te-ching-chaps-79-81-bitter-enemies-a-small-state-true-w</t>
        </is>
      </c>
      <c r="J239" s="18" t="inlineStr">
        <is>
          <t>Planned</t>
        </is>
      </c>
      <c r="K239" s="18" t="n"/>
      <c r="L239" s="18" t="n"/>
      <c r="M239" s="20" t="n"/>
    </row>
    <row r="240" ht="15" customHeight="1" s="16">
      <c r="A240" s="18" t="n">
        <v>239</v>
      </c>
      <c r="B240" s="18">
        <f>INT((A240-1)/3)+1</f>
        <v/>
      </c>
      <c r="C240" s="19" t="n">
        <v>80</v>
      </c>
      <c r="D240" s="18" t="inlineStr">
        <is>
          <t>A Small State Has Few People</t>
        </is>
      </c>
      <c r="E240" s="18" t="inlineStr">
        <is>
          <t>Discussion 1</t>
        </is>
      </c>
      <c r="F240" s="18">
        <f>TEXT(G240,"ddd")</f>
        <v/>
      </c>
      <c r="G240" s="20">
        <f>Settings!$B$4+(B240-1)*Settings!$B$11+INDEX(Settings!$B$7:$B$9,MATCH(E240,Settings!$A$7:$A$9,0))</f>
        <v/>
      </c>
      <c r="H240" s="21">
        <f>G240-G239</f>
        <v/>
      </c>
      <c r="I240" s="22" t="inlineStr">
        <is>
          <t>arredondo-05-29-24-tao-te-ching-chaps-79-81-bitter-enemies-a-small-state-true-w</t>
        </is>
      </c>
      <c r="J240" s="18" t="inlineStr">
        <is>
          <t>Planned</t>
        </is>
      </c>
      <c r="K240" s="18" t="n"/>
      <c r="L240" s="18" t="n"/>
      <c r="M240" s="20" t="n"/>
    </row>
    <row r="241" ht="15" customHeight="1" s="16">
      <c r="A241" s="18" t="n">
        <v>240</v>
      </c>
      <c r="B241" s="18">
        <f>INT((A241-1)/3)+1</f>
        <v/>
      </c>
      <c r="C241" s="19" t="n">
        <v>80</v>
      </c>
      <c r="D241" s="18" t="inlineStr">
        <is>
          <t>A Small State Has Few People</t>
        </is>
      </c>
      <c r="E241" s="18" t="inlineStr">
        <is>
          <t>Discussion 2</t>
        </is>
      </c>
      <c r="F241" s="18">
        <f>TEXT(G241,"ddd")</f>
        <v/>
      </c>
      <c r="G241" s="20">
        <f>Settings!$B$4+(B241-1)*Settings!$B$11+INDEX(Settings!$B$7:$B$9,MATCH(E241,Settings!$A$7:$A$9,0))</f>
        <v/>
      </c>
      <c r="H241" s="21">
        <f>G241-G240</f>
        <v/>
      </c>
      <c r="I241" s="22" t="inlineStr">
        <is>
          <t>arredondo-05-29-24-tao-te-ching-chaps-79-81-bitter-enemies-a-small-state-true-w</t>
        </is>
      </c>
      <c r="J241" s="18" t="inlineStr">
        <is>
          <t>Planned</t>
        </is>
      </c>
      <c r="K241" s="18" t="n"/>
      <c r="L241" s="18" t="n"/>
      <c r="M241" s="20" t="n"/>
    </row>
    <row r="242" ht="15" customHeight="1" s="16">
      <c r="A242" s="18" t="n">
        <v>241</v>
      </c>
      <c r="B242" s="18">
        <f>INT((A242-1)/3)+1</f>
        <v/>
      </c>
      <c r="C242" s="19" t="n">
        <v>81</v>
      </c>
      <c r="D242" s="18" t="inlineStr">
        <is>
          <t>True Words Are Not Beautiful</t>
        </is>
      </c>
      <c r="E242" s="18" t="inlineStr">
        <is>
          <t>Reading</t>
        </is>
      </c>
      <c r="F242" s="18">
        <f>TEXT(G242,"ddd")</f>
        <v/>
      </c>
      <c r="G242" s="20">
        <f>Settings!$B$4+(B242-1)*Settings!$B$11+INDEX(Settings!$B$7:$B$9,MATCH(E242,Settings!$A$7:$A$9,0))</f>
        <v/>
      </c>
      <c r="H242" s="21">
        <f>G242-G241</f>
        <v/>
      </c>
      <c r="I242" s="22" t="inlineStr">
        <is>
          <t>arredondo-05-29-24-tao-te-ching-chaps-79-81-bitter-enemies-a-small-state-true-w</t>
        </is>
      </c>
      <c r="J242" s="18" t="inlineStr">
        <is>
          <t>Planned</t>
        </is>
      </c>
      <c r="K242" s="18" t="n"/>
      <c r="L242" s="18" t="n"/>
      <c r="M242" s="20" t="n"/>
    </row>
    <row r="243" ht="15" customHeight="1" s="16">
      <c r="A243" s="18" t="n">
        <v>242</v>
      </c>
      <c r="B243" s="18">
        <f>INT((A243-1)/3)+1</f>
        <v/>
      </c>
      <c r="C243" s="19" t="n">
        <v>81</v>
      </c>
      <c r="D243" s="18" t="inlineStr">
        <is>
          <t>True Words Are Not Beautiful</t>
        </is>
      </c>
      <c r="E243" s="18" t="inlineStr">
        <is>
          <t>Discussion 1</t>
        </is>
      </c>
      <c r="F243" s="18">
        <f>TEXT(G243,"ddd")</f>
        <v/>
      </c>
      <c r="G243" s="20">
        <f>Settings!$B$4+(B243-1)*Settings!$B$11+INDEX(Settings!$B$7:$B$9,MATCH(E243,Settings!$A$7:$A$9,0))</f>
        <v/>
      </c>
      <c r="H243" s="21">
        <f>G243-G242</f>
        <v/>
      </c>
      <c r="I243" s="22" t="inlineStr">
        <is>
          <t>arredondo-05-29-24-tao-te-ching-chaps-79-81-bitter-enemies-a-small-state-true-w</t>
        </is>
      </c>
      <c r="J243" s="18" t="inlineStr">
        <is>
          <t>Planned</t>
        </is>
      </c>
      <c r="K243" s="18" t="n"/>
      <c r="L243" s="18" t="n"/>
      <c r="M243" s="20" t="n"/>
    </row>
    <row r="244" ht="15" customHeight="1" s="16">
      <c r="A244" s="18" t="n">
        <v>243</v>
      </c>
      <c r="B244" s="18">
        <f>INT((A244-1)/3)+1</f>
        <v/>
      </c>
      <c r="C244" s="19" t="n">
        <v>81</v>
      </c>
      <c r="D244" s="18" t="inlineStr">
        <is>
          <t>True Words Are Not Beautiful</t>
        </is>
      </c>
      <c r="E244" s="18" t="inlineStr">
        <is>
          <t>Discussion 2</t>
        </is>
      </c>
      <c r="F244" s="18">
        <f>TEXT(G244,"ddd")</f>
        <v/>
      </c>
      <c r="G244" s="20">
        <f>Settings!$B$4+(B244-1)*Settings!$B$11+INDEX(Settings!$B$7:$B$9,MATCH(E244,Settings!$A$7:$A$9,0))</f>
        <v/>
      </c>
      <c r="H244" s="21">
        <f>G244-G243</f>
        <v/>
      </c>
      <c r="I244" s="22" t="inlineStr">
        <is>
          <t>arredondo-05-29-24-tao-te-ching-chaps-79-81-bitter-enemies-a-small-state-true-w</t>
        </is>
      </c>
      <c r="J244" s="18" t="inlineStr">
        <is>
          <t>Planned</t>
        </is>
      </c>
      <c r="K244" s="18" t="n"/>
      <c r="L244" s="18" t="n"/>
      <c r="M244" s="20" t="n"/>
    </row>
  </sheetData>
  <autoFilter ref="A1:M244"/>
  <conditionalFormatting sqref="A2:M244">
    <cfRule type="expression" rank="0" priority="2" equalAverage="0" aboveAverage="0" dxfId="6" text="" percent="0" bottom="0">
      <formula>$E2="Reading"</formula>
    </cfRule>
  </conditionalFormatting>
  <conditionalFormatting sqref="J2:J244">
    <cfRule type="expression" rank="0" priority="3" equalAverage="0" aboveAverage="0" dxfId="7" text="" percent="0" bottom="0">
      <formula>$J2="Released"</formula>
    </cfRule>
    <cfRule type="expression" rank="0" priority="4" equalAverage="0" aboveAverage="0" dxfId="8" text="" percent="0" bottom="0">
      <formula>OR($J2="Ready",$J2="Scheduled")</formula>
    </cfRule>
    <cfRule type="expression" rank="0" priority="5" equalAverage="0" aboveAverage="0" dxfId="9" text="" percent="0" bottom="0">
      <formula>$J2="In progress"</formula>
    </cfRule>
  </conditionalFormatting>
  <conditionalFormatting sqref="G2:G244">
    <cfRule type="expression" rank="0" priority="6" equalAverage="0" aboveAverage="0" dxfId="10" text="" percent="0" bottom="0">
      <formula>AND($G2&lt;TODAY(),$J2&lt;&gt;"Released")</formula>
    </cfRule>
  </conditionalFormatting>
  <dataValidations count="1">
    <dataValidation sqref="J2:J244" showDropDown="0" showInputMessage="0" showErrorMessage="0" allowBlank="1" type="list" errorStyle="stop" operator="between">
      <formula1>"Planned,In progress,Ready,Scheduled,Released"</formula1>
      <formula2>0</formula2>
    </dataValidation>
  </dataValidations>
  <hyperlinks>
    <hyperlink xmlns:r="http://schemas.openxmlformats.org/officeDocument/2006/relationships" ref="I2" display="arredondo-03-27-24-tao-te-ching-chap-1-the-gateway-of-marvels-3-27-2024" r:id="rId1"/>
    <hyperlink xmlns:r="http://schemas.openxmlformats.org/officeDocument/2006/relationships" ref="I3" display="arredondo-03-27-24-tao-te-ching-chap-1-the-gateway-of-marvels-3-27-2024" r:id="rId2"/>
    <hyperlink xmlns:r="http://schemas.openxmlformats.org/officeDocument/2006/relationships" ref="I4" display="arredondo-03-27-24-tao-te-ching-chap-1-the-gateway-of-marvels-3-27-2024" r:id="rId3"/>
    <hyperlink xmlns:r="http://schemas.openxmlformats.org/officeDocument/2006/relationships" ref="I5" display="arredondo-03-28-24-tao-te-ching-chaps-2-3-when-everyone-knows-beauty-is-beauty" r:id="rId4"/>
    <hyperlink xmlns:r="http://schemas.openxmlformats.org/officeDocument/2006/relationships" ref="I6" display="arredondo-03-28-24-tao-te-ching-chaps-2-3-when-everyone-knows-beauty-is-beauty" r:id="rId5"/>
    <hyperlink xmlns:r="http://schemas.openxmlformats.org/officeDocument/2006/relationships" ref="I7" display="arredondo-03-28-24-tao-te-ching-chaps-2-3-when-everyone-knows-beauty-is-beauty" r:id="rId6"/>
    <hyperlink xmlns:r="http://schemas.openxmlformats.org/officeDocument/2006/relationships" ref="I8" display="arredondo-03-28-24-tao-te-ching-chaps-2-3-when-everyone-knows-beauty-is-beauty" r:id="rId7"/>
    <hyperlink xmlns:r="http://schemas.openxmlformats.org/officeDocument/2006/relationships" ref="I9" display="arredondo-03-28-24-tao-te-ching-chaps-2-3-when-everyone-knows-beauty-is-beauty" r:id="rId8"/>
    <hyperlink xmlns:r="http://schemas.openxmlformats.org/officeDocument/2006/relationships" ref="I10" display="arredondo-03-28-24-tao-te-ching-chaps-2-3-when-everyone-knows-beauty-is-beauty" r:id="rId9"/>
    <hyperlink xmlns:r="http://schemas.openxmlformats.org/officeDocument/2006/relationships" ref="I11" display="arredondo-03-31-24-tao-te-ching-chaps-4-5-the-way-is-unimpeded-harmony" r:id="rId10"/>
    <hyperlink xmlns:r="http://schemas.openxmlformats.org/officeDocument/2006/relationships" ref="I12" display="arredondo-03-31-24-tao-te-ching-chaps-4-5-the-way-is-unimpeded-harmony" r:id="rId11"/>
    <hyperlink xmlns:r="http://schemas.openxmlformats.org/officeDocument/2006/relationships" ref="I13" display="arredondo-03-31-24-tao-te-ching-chaps-4-5-the-way-is-unimpeded-harmony" r:id="rId12"/>
    <hyperlink xmlns:r="http://schemas.openxmlformats.org/officeDocument/2006/relationships" ref="I14" display="arredondo-03-31-24-tao-te-ching-chaps-4-5-the-way-is-unimpeded-harmony" r:id="rId13"/>
    <hyperlink xmlns:r="http://schemas.openxmlformats.org/officeDocument/2006/relationships" ref="I15" display="arredondo-03-31-24-tao-te-ching-chaps-4-5-the-way-is-unimpeded-harmony" r:id="rId14"/>
    <hyperlink xmlns:r="http://schemas.openxmlformats.org/officeDocument/2006/relationships" ref="I16" display="arredondo-03-31-24-tao-te-ching-chaps-4-5-the-way-is-unimpeded-harmony" r:id="rId15"/>
    <hyperlink xmlns:r="http://schemas.openxmlformats.org/officeDocument/2006/relationships" ref="I17" display="arredondo-04-03-24-tao-te-ching-chaps-6-8-the-opening-of-the-mysterious-female" r:id="rId16"/>
    <hyperlink xmlns:r="http://schemas.openxmlformats.org/officeDocument/2006/relationships" ref="I18" display="arredondo-04-03-24-tao-te-ching-chaps-6-8-the-opening-of-the-mysterious-female" r:id="rId17"/>
    <hyperlink xmlns:r="http://schemas.openxmlformats.org/officeDocument/2006/relationships" ref="I19" display="arredondo-04-03-24-tao-te-ching-chaps-6-8-the-opening-of-the-mysterious-female" r:id="rId18"/>
    <hyperlink xmlns:r="http://schemas.openxmlformats.org/officeDocument/2006/relationships" ref="I20" display="arredondo-04-03-24-tao-te-ching-chaps-6-8-the-opening-of-the-mysterious-female" r:id="rId19"/>
    <hyperlink xmlns:r="http://schemas.openxmlformats.org/officeDocument/2006/relationships" ref="I21" display="arredondo-04-03-24-tao-te-ching-chaps-6-8-the-opening-of-the-mysterious-female" r:id="rId20"/>
    <hyperlink xmlns:r="http://schemas.openxmlformats.org/officeDocument/2006/relationships" ref="I22" display="arredondo-04-03-24-tao-te-ching-chaps-6-8-the-opening-of-the-mysterious-female" r:id="rId21"/>
    <hyperlink xmlns:r="http://schemas.openxmlformats.org/officeDocument/2006/relationships" ref="I23" display="arredondo-04-03-24-tao-te-ching-chaps-6-8-the-opening-of-the-mysterious-female" r:id="rId22"/>
    <hyperlink xmlns:r="http://schemas.openxmlformats.org/officeDocument/2006/relationships" ref="I24" display="arredondo-04-03-24-tao-te-ching-chaps-6-8-the-opening-of-the-mysterious-female" r:id="rId23"/>
    <hyperlink xmlns:r="http://schemas.openxmlformats.org/officeDocument/2006/relationships" ref="I25" display="arredondo-04-03-24-tao-te-ching-chaps-6-8-the-opening-of-the-mysterious-female" r:id="rId24"/>
    <hyperlink xmlns:r="http://schemas.openxmlformats.org/officeDocument/2006/relationships" ref="I26" display="arredondo-04-04-24-tao-te-ching-chaps-9-10-vitality-and-consciousness-april-4-2" r:id="rId25"/>
    <hyperlink xmlns:r="http://schemas.openxmlformats.org/officeDocument/2006/relationships" ref="I27" display="arredondo-04-04-24-tao-te-ching-chaps-9-10-vitality-and-consciousness-april-4-2" r:id="rId26"/>
    <hyperlink xmlns:r="http://schemas.openxmlformats.org/officeDocument/2006/relationships" ref="I28" display="arredondo-04-04-24-tao-te-ching-chaps-9-10-vitality-and-consciousness-april-4-2" r:id="rId27"/>
    <hyperlink xmlns:r="http://schemas.openxmlformats.org/officeDocument/2006/relationships" ref="I29" display="arredondo-04-04-24-tao-te-ching-chaps-9-10-vitality-and-consciousness-april-4-2" r:id="rId28"/>
    <hyperlink xmlns:r="http://schemas.openxmlformats.org/officeDocument/2006/relationships" ref="I30" display="arredondo-04-04-24-tao-te-ching-chaps-9-10-vitality-and-consciousness-april-4-2" r:id="rId29"/>
    <hyperlink xmlns:r="http://schemas.openxmlformats.org/officeDocument/2006/relationships" ref="I31" display="arredondo-04-04-24-tao-te-ching-chaps-9-10-vitality-and-consciousness-april-4-2" r:id="rId30"/>
    <hyperlink xmlns:r="http://schemas.openxmlformats.org/officeDocument/2006/relationships" ref="I32" display="arredondo-04-05-24-tao-te-ching-chaps-11-13-thirty-spokes-colors-favor-and-disg" r:id="rId31"/>
    <hyperlink xmlns:r="http://schemas.openxmlformats.org/officeDocument/2006/relationships" ref="I33" display="arredondo-04-05-24-tao-te-ching-chaps-11-13-thirty-spokes-colors-favor-and-disg" r:id="rId32"/>
    <hyperlink xmlns:r="http://schemas.openxmlformats.org/officeDocument/2006/relationships" ref="I34" display="arredondo-04-05-24-tao-te-ching-chaps-11-13-thirty-spokes-colors-favor-and-disg" r:id="rId33"/>
    <hyperlink xmlns:r="http://schemas.openxmlformats.org/officeDocument/2006/relationships" ref="I35" display="arredondo-04-05-24-tao-te-ching-chaps-11-13-thirty-spokes-colors-favor-and-disg" r:id="rId34"/>
    <hyperlink xmlns:r="http://schemas.openxmlformats.org/officeDocument/2006/relationships" ref="I36" display="arredondo-04-05-24-tao-te-ching-chaps-11-13-thirty-spokes-colors-favor-and-disg" r:id="rId35"/>
    <hyperlink xmlns:r="http://schemas.openxmlformats.org/officeDocument/2006/relationships" ref="I37" display="arredondo-04-05-24-tao-te-ching-chaps-11-13-thirty-spokes-colors-favor-and-disg" r:id="rId36"/>
    <hyperlink xmlns:r="http://schemas.openxmlformats.org/officeDocument/2006/relationships" ref="I38" display="arredondo-04-05-24-tao-te-ching-chaps-11-13-thirty-spokes-colors-favor-and-disg" r:id="rId37"/>
    <hyperlink xmlns:r="http://schemas.openxmlformats.org/officeDocument/2006/relationships" ref="I39" display="arredondo-04-05-24-tao-te-ching-chaps-11-13-thirty-spokes-colors-favor-and-disg" r:id="rId38"/>
    <hyperlink xmlns:r="http://schemas.openxmlformats.org/officeDocument/2006/relationships" ref="I40" display="arredondo-04-05-24-tao-te-ching-chaps-11-13-thirty-spokes-colors-favor-and-disg" r:id="rId39"/>
    <hyperlink xmlns:r="http://schemas.openxmlformats.org/officeDocument/2006/relationships" ref="I41" display="arredondo-04-09-24-tao-te-ching-chaps-14-15-what-you-don-t-see-skilled-warriors" r:id="rId40"/>
    <hyperlink xmlns:r="http://schemas.openxmlformats.org/officeDocument/2006/relationships" ref="I42" display="arredondo-04-09-24-tao-te-ching-chaps-14-15-what-you-don-t-see-skilled-warriors" r:id="rId41"/>
    <hyperlink xmlns:r="http://schemas.openxmlformats.org/officeDocument/2006/relationships" ref="I43" display="arredondo-04-09-24-tao-te-ching-chaps-14-15-what-you-don-t-see-skilled-warriors" r:id="rId42"/>
    <hyperlink xmlns:r="http://schemas.openxmlformats.org/officeDocument/2006/relationships" ref="I44" display="arredondo-04-09-24-tao-te-ching-chaps-14-15-what-you-don-t-see-skilled-warriors" r:id="rId43"/>
    <hyperlink xmlns:r="http://schemas.openxmlformats.org/officeDocument/2006/relationships" ref="I45" display="arredondo-04-09-24-tao-te-ching-chaps-14-15-what-you-don-t-see-skilled-warriors" r:id="rId44"/>
    <hyperlink xmlns:r="http://schemas.openxmlformats.org/officeDocument/2006/relationships" ref="I46" display="arredondo-04-09-24-tao-te-ching-chaps-14-15-what-you-don-t-see-skilled-warriors" r:id="rId45"/>
    <hyperlink xmlns:r="http://schemas.openxmlformats.org/officeDocument/2006/relationships" ref="I47" display="arredondo-04-10-24-tao-te-ching-chaps-16-18-april-10-2024" r:id="rId46"/>
    <hyperlink xmlns:r="http://schemas.openxmlformats.org/officeDocument/2006/relationships" ref="I48" display="arredondo-04-10-24-tao-te-ching-chaps-16-18-april-10-2024" r:id="rId47"/>
    <hyperlink xmlns:r="http://schemas.openxmlformats.org/officeDocument/2006/relationships" ref="I49" display="arredondo-04-10-24-tao-te-ching-chaps-16-18-april-10-2024" r:id="rId48"/>
    <hyperlink xmlns:r="http://schemas.openxmlformats.org/officeDocument/2006/relationships" ref="I50" display="arredondo-04-10-24-tao-te-ching-chaps-16-18-april-10-2024" r:id="rId49"/>
    <hyperlink xmlns:r="http://schemas.openxmlformats.org/officeDocument/2006/relationships" ref="I51" display="arredondo-04-10-24-tao-te-ching-chaps-16-18-april-10-2024" r:id="rId50"/>
    <hyperlink xmlns:r="http://schemas.openxmlformats.org/officeDocument/2006/relationships" ref="I52" display="arredondo-04-10-24-tao-te-ching-chaps-16-18-april-10-2024" r:id="rId51"/>
    <hyperlink xmlns:r="http://schemas.openxmlformats.org/officeDocument/2006/relationships" ref="I53" display="arredondo-04-10-24-tao-te-ching-chaps-16-18-april-10-2024" r:id="rId52"/>
    <hyperlink xmlns:r="http://schemas.openxmlformats.org/officeDocument/2006/relationships" ref="I54" display="arredondo-04-10-24-tao-te-ching-chaps-16-18-april-10-2024" r:id="rId53"/>
    <hyperlink xmlns:r="http://schemas.openxmlformats.org/officeDocument/2006/relationships" ref="I55" display="arredondo-04-10-24-tao-te-ching-chaps-16-18-april-10-2024" r:id="rId54"/>
    <hyperlink xmlns:r="http://schemas.openxmlformats.org/officeDocument/2006/relationships" ref="I56" display="arredondo-04-11-24-tao-te-ching-chaps-19-21-april-11-2024" r:id="rId55"/>
    <hyperlink xmlns:r="http://schemas.openxmlformats.org/officeDocument/2006/relationships" ref="I57" display="arredondo-04-11-24-tao-te-ching-chaps-19-21-april-11-2024" r:id="rId56"/>
    <hyperlink xmlns:r="http://schemas.openxmlformats.org/officeDocument/2006/relationships" ref="I58" display="arredondo-04-11-24-tao-te-ching-chaps-19-21-april-11-2024" r:id="rId57"/>
    <hyperlink xmlns:r="http://schemas.openxmlformats.org/officeDocument/2006/relationships" ref="I59" display="arredondo-04-11-24-tao-te-ching-chaps-19-21-april-11-2024" r:id="rId58"/>
    <hyperlink xmlns:r="http://schemas.openxmlformats.org/officeDocument/2006/relationships" ref="I60" display="arredondo-04-11-24-tao-te-ching-chaps-19-21-april-11-2024" r:id="rId59"/>
    <hyperlink xmlns:r="http://schemas.openxmlformats.org/officeDocument/2006/relationships" ref="I61" display="arredondo-04-11-24-tao-te-ching-chaps-19-21-april-11-2024" r:id="rId60"/>
    <hyperlink xmlns:r="http://schemas.openxmlformats.org/officeDocument/2006/relationships" ref="I62" display="arredondo-04-11-24-tao-te-ching-chaps-19-21-april-11-2024" r:id="rId61"/>
    <hyperlink xmlns:r="http://schemas.openxmlformats.org/officeDocument/2006/relationships" ref="I63" display="arredondo-04-11-24-tao-te-ching-chaps-19-21-april-11-2024" r:id="rId62"/>
    <hyperlink xmlns:r="http://schemas.openxmlformats.org/officeDocument/2006/relationships" ref="I64" display="arredondo-04-11-24-tao-te-ching-chaps-19-21-april-11-2024" r:id="rId63"/>
    <hyperlink xmlns:r="http://schemas.openxmlformats.org/officeDocument/2006/relationships" ref="I65" display="arredondo-04-12-24-tao-te-ching-chaps-22-24-be-tactful-speak-rarely-those-on-ti" r:id="rId64"/>
    <hyperlink xmlns:r="http://schemas.openxmlformats.org/officeDocument/2006/relationships" ref="I66" display="arredondo-04-12-24-tao-te-ching-chaps-22-24-be-tactful-speak-rarely-those-on-ti" r:id="rId65"/>
    <hyperlink xmlns:r="http://schemas.openxmlformats.org/officeDocument/2006/relationships" ref="I67" display="arredondo-04-12-24-tao-te-ching-chaps-22-24-be-tactful-speak-rarely-those-on-ti" r:id="rId66"/>
    <hyperlink xmlns:r="http://schemas.openxmlformats.org/officeDocument/2006/relationships" ref="I68" display="arredondo-04-12-24-tao-te-ching-chaps-22-24-be-tactful-speak-rarely-those-on-ti" r:id="rId67"/>
    <hyperlink xmlns:r="http://schemas.openxmlformats.org/officeDocument/2006/relationships" ref="I69" display="arredondo-04-12-24-tao-te-ching-chaps-22-24-be-tactful-speak-rarely-those-on-ti" r:id="rId68"/>
    <hyperlink xmlns:r="http://schemas.openxmlformats.org/officeDocument/2006/relationships" ref="I70" display="arredondo-04-12-24-tao-te-ching-chaps-22-24-be-tactful-speak-rarely-those-on-ti" r:id="rId69"/>
    <hyperlink xmlns:r="http://schemas.openxmlformats.org/officeDocument/2006/relationships" ref="I71" display="arredondo-04-12-24-tao-te-ching-chaps-22-24-be-tactful-speak-rarely-those-on-ti" r:id="rId70"/>
    <hyperlink xmlns:r="http://schemas.openxmlformats.org/officeDocument/2006/relationships" ref="I72" display="arredondo-04-12-24-tao-te-ching-chaps-22-24-be-tactful-speak-rarely-those-on-ti" r:id="rId71"/>
    <hyperlink xmlns:r="http://schemas.openxmlformats.org/officeDocument/2006/relationships" ref="I73" display="arredondo-04-12-24-tao-te-ching-chaps-22-24-be-tactful-speak-rarely-those-on-ti" r:id="rId72"/>
    <hyperlink xmlns:r="http://schemas.openxmlformats.org/officeDocument/2006/relationships" ref="I74" display="arredondo-04-18-24-tao-te-ching-chaps-25-27-undifferentiated-root-of-lightness" r:id="rId73"/>
    <hyperlink xmlns:r="http://schemas.openxmlformats.org/officeDocument/2006/relationships" ref="I75" display="arredondo-04-18-24-tao-te-ching-chaps-25-27-undifferentiated-root-of-lightness" r:id="rId74"/>
    <hyperlink xmlns:r="http://schemas.openxmlformats.org/officeDocument/2006/relationships" ref="I76" display="arredondo-04-18-24-tao-te-ching-chaps-25-27-undifferentiated-root-of-lightness" r:id="rId75"/>
    <hyperlink xmlns:r="http://schemas.openxmlformats.org/officeDocument/2006/relationships" ref="I77" display="arredondo-04-18-24-tao-te-ching-chaps-25-27-undifferentiated-root-of-lightness" r:id="rId76"/>
    <hyperlink xmlns:r="http://schemas.openxmlformats.org/officeDocument/2006/relationships" ref="I78" display="arredondo-04-18-24-tao-te-ching-chaps-25-27-undifferentiated-root-of-lightness" r:id="rId77"/>
    <hyperlink xmlns:r="http://schemas.openxmlformats.org/officeDocument/2006/relationships" ref="I79" display="arredondo-04-18-24-tao-te-ching-chaps-25-27-undifferentiated-root-of-lightness" r:id="rId78"/>
    <hyperlink xmlns:r="http://schemas.openxmlformats.org/officeDocument/2006/relationships" ref="I80" display="arredondo-04-18-24-tao-te-ching-chaps-25-27-undifferentiated-root-of-lightness" r:id="rId79"/>
    <hyperlink xmlns:r="http://schemas.openxmlformats.org/officeDocument/2006/relationships" ref="I81" display="arredondo-04-18-24-tao-te-ching-chaps-25-27-undifferentiated-root-of-lightness" r:id="rId80"/>
    <hyperlink xmlns:r="http://schemas.openxmlformats.org/officeDocument/2006/relationships" ref="I82" display="arredondo-04-18-24-tao-te-ching-chaps-25-27-undifferentiated-root-of-lightness" r:id="rId81"/>
    <hyperlink xmlns:r="http://schemas.openxmlformats.org/officeDocument/2006/relationships" ref="I83" display="arredondo-04-19-24-tao-te-ching-chaps-28-30-keep-to-the-female-should-you-want" r:id="rId82"/>
    <hyperlink xmlns:r="http://schemas.openxmlformats.org/officeDocument/2006/relationships" ref="I84" display="arredondo-04-19-24-tao-te-ching-chaps-28-30-keep-to-the-female-should-you-want" r:id="rId83"/>
    <hyperlink xmlns:r="http://schemas.openxmlformats.org/officeDocument/2006/relationships" ref="I85" display="arredondo-04-19-24-tao-te-ching-chaps-28-30-keep-to-the-female-should-you-want" r:id="rId84"/>
    <hyperlink xmlns:r="http://schemas.openxmlformats.org/officeDocument/2006/relationships" ref="I86" display="arredondo-04-19-24-tao-te-ching-chaps-28-30-keep-to-the-female-should-you-want" r:id="rId85"/>
    <hyperlink xmlns:r="http://schemas.openxmlformats.org/officeDocument/2006/relationships" ref="I87" display="arredondo-04-19-24-tao-te-ching-chaps-28-30-keep-to-the-female-should-you-want" r:id="rId86"/>
    <hyperlink xmlns:r="http://schemas.openxmlformats.org/officeDocument/2006/relationships" ref="I88" display="arredondo-04-19-24-tao-te-ching-chaps-28-30-keep-to-the-female-should-you-want" r:id="rId87"/>
    <hyperlink xmlns:r="http://schemas.openxmlformats.org/officeDocument/2006/relationships" ref="I89" display="arredondo-04-19-24-tao-te-ching-chaps-28-30-keep-to-the-female-should-you-want" r:id="rId88"/>
    <hyperlink xmlns:r="http://schemas.openxmlformats.org/officeDocument/2006/relationships" ref="I90" display="arredondo-04-19-24-tao-te-ching-chaps-28-30-keep-to-the-female-should-you-want" r:id="rId89"/>
    <hyperlink xmlns:r="http://schemas.openxmlformats.org/officeDocument/2006/relationships" ref="I91" display="arredondo-04-19-24-tao-te-ching-chaps-28-30-keep-to-the-female-should-you-want" r:id="rId90"/>
    <hyperlink xmlns:r="http://schemas.openxmlformats.org/officeDocument/2006/relationships" ref="I92" display="arredondo-04-19-24-tao-te-ching-chaps-31-33-fine-weapons-eternally-nameless-tho" r:id="rId91"/>
    <hyperlink xmlns:r="http://schemas.openxmlformats.org/officeDocument/2006/relationships" ref="I93" display="arredondo-04-19-24-tao-te-ching-chaps-31-33-fine-weapons-eternally-nameless-tho" r:id="rId92"/>
    <hyperlink xmlns:r="http://schemas.openxmlformats.org/officeDocument/2006/relationships" ref="I94" display="arredondo-04-19-24-tao-te-ching-chaps-31-33-fine-weapons-eternally-nameless-tho" r:id="rId93"/>
    <hyperlink xmlns:r="http://schemas.openxmlformats.org/officeDocument/2006/relationships" ref="I95" display="arredondo-04-19-24-tao-te-ching-chaps-31-33-fine-weapons-eternally-nameless-tho" r:id="rId94"/>
    <hyperlink xmlns:r="http://schemas.openxmlformats.org/officeDocument/2006/relationships" ref="I96" display="arredondo-04-19-24-tao-te-ching-chaps-31-33-fine-weapons-eternally-nameless-tho" r:id="rId95"/>
    <hyperlink xmlns:r="http://schemas.openxmlformats.org/officeDocument/2006/relationships" ref="I97" display="arredondo-04-19-24-tao-te-ching-chaps-31-33-fine-weapons-eternally-nameless-tho" r:id="rId96"/>
    <hyperlink xmlns:r="http://schemas.openxmlformats.org/officeDocument/2006/relationships" ref="I98" display="arredondo-04-19-24-tao-te-ching-chaps-31-33-fine-weapons-eternally-nameless-tho" r:id="rId97"/>
    <hyperlink xmlns:r="http://schemas.openxmlformats.org/officeDocument/2006/relationships" ref="I99" display="arredondo-04-19-24-tao-te-ching-chaps-31-33-fine-weapons-eternally-nameless-tho" r:id="rId98"/>
    <hyperlink xmlns:r="http://schemas.openxmlformats.org/officeDocument/2006/relationships" ref="I100" display="arredondo-04-19-24-tao-te-ching-chaps-31-33-fine-weapons-eternally-nameless-tho" r:id="rId99"/>
    <hyperlink xmlns:r="http://schemas.openxmlformats.org/officeDocument/2006/relationships" ref="I101" display="arredondo-04-24-24-tao-te-ching-chaps-34-37-universal-great-image-contain-uncon" r:id="rId100"/>
    <hyperlink xmlns:r="http://schemas.openxmlformats.org/officeDocument/2006/relationships" ref="I102" display="arredondo-04-24-24-tao-te-ching-chaps-34-37-universal-great-image-contain-uncon" r:id="rId101"/>
    <hyperlink xmlns:r="http://schemas.openxmlformats.org/officeDocument/2006/relationships" ref="I103" display="arredondo-04-24-24-tao-te-ching-chaps-34-37-universal-great-image-contain-uncon" r:id="rId102"/>
    <hyperlink xmlns:r="http://schemas.openxmlformats.org/officeDocument/2006/relationships" ref="I104" display="arredondo-04-24-24-tao-te-ching-chaps-34-37-universal-great-image-contain-uncon" r:id="rId103"/>
    <hyperlink xmlns:r="http://schemas.openxmlformats.org/officeDocument/2006/relationships" ref="I105" display="arredondo-04-24-24-tao-te-ching-chaps-34-37-universal-great-image-contain-uncon" r:id="rId104"/>
    <hyperlink xmlns:r="http://schemas.openxmlformats.org/officeDocument/2006/relationships" ref="I106" display="arredondo-04-24-24-tao-te-ching-chaps-34-37-universal-great-image-contain-uncon" r:id="rId105"/>
    <hyperlink xmlns:r="http://schemas.openxmlformats.org/officeDocument/2006/relationships" ref="I107" display="arredondo-04-24-24-tao-te-ching-chaps-34-37-universal-great-image-contain-uncon" r:id="rId106"/>
    <hyperlink xmlns:r="http://schemas.openxmlformats.org/officeDocument/2006/relationships" ref="I108" display="arredondo-04-24-24-tao-te-ching-chaps-34-37-universal-great-image-contain-uncon" r:id="rId107"/>
    <hyperlink xmlns:r="http://schemas.openxmlformats.org/officeDocument/2006/relationships" ref="I109" display="arredondo-04-24-24-tao-te-ching-chaps-34-37-universal-great-image-contain-uncon" r:id="rId108"/>
    <hyperlink xmlns:r="http://schemas.openxmlformats.org/officeDocument/2006/relationships" ref="I110" display="arredondo-04-24-24-tao-te-ching-chaps-34-37-universal-great-image-contain-uncon" r:id="rId109"/>
    <hyperlink xmlns:r="http://schemas.openxmlformats.org/officeDocument/2006/relationships" ref="I111" display="arredondo-04-24-24-tao-te-ching-chaps-34-37-universal-great-image-contain-uncon" r:id="rId110"/>
    <hyperlink xmlns:r="http://schemas.openxmlformats.org/officeDocument/2006/relationships" ref="I112" display="arredondo-04-24-24-tao-te-ching-chaps-34-37-universal-great-image-contain-uncon" r:id="rId111"/>
    <hyperlink xmlns:r="http://schemas.openxmlformats.org/officeDocument/2006/relationships" ref="I113" display="arredondo-04-25-24-tao-te-ching-chaps-38-40-not-ingratiating-attaining-unity-mo" r:id="rId112"/>
    <hyperlink xmlns:r="http://schemas.openxmlformats.org/officeDocument/2006/relationships" ref="I114" display="arredondo-04-25-24-tao-te-ching-chaps-38-40-not-ingratiating-attaining-unity-mo" r:id="rId113"/>
    <hyperlink xmlns:r="http://schemas.openxmlformats.org/officeDocument/2006/relationships" ref="I115" display="arredondo-04-25-24-tao-te-ching-chaps-38-40-not-ingratiating-attaining-unity-mo" r:id="rId114"/>
    <hyperlink xmlns:r="http://schemas.openxmlformats.org/officeDocument/2006/relationships" ref="I116" display="arredondo-04-25-24-tao-te-ching-chaps-38-40-not-ingratiating-attaining-unity-mo" r:id="rId115"/>
    <hyperlink xmlns:r="http://schemas.openxmlformats.org/officeDocument/2006/relationships" ref="I117" display="arredondo-04-25-24-tao-te-ching-chaps-38-40-not-ingratiating-attaining-unity-mo" r:id="rId116"/>
    <hyperlink xmlns:r="http://schemas.openxmlformats.org/officeDocument/2006/relationships" ref="I118" display="arredondo-04-25-24-tao-te-ching-chaps-38-40-not-ingratiating-attaining-unity-mo" r:id="rId117"/>
    <hyperlink xmlns:r="http://schemas.openxmlformats.org/officeDocument/2006/relationships" ref="I119" display="arredondo-04-25-24-tao-te-ching-chaps-38-40-not-ingratiating-attaining-unity-mo" r:id="rId118"/>
    <hyperlink xmlns:r="http://schemas.openxmlformats.org/officeDocument/2006/relationships" ref="I120" display="arredondo-04-25-24-tao-te-ching-chaps-38-40-not-ingratiating-attaining-unity-mo" r:id="rId119"/>
    <hyperlink xmlns:r="http://schemas.openxmlformats.org/officeDocument/2006/relationships" ref="I121" display="arredondo-04-25-24-tao-te-ching-chaps-38-40-not-ingratiating-attaining-unity-mo" r:id="rId120"/>
    <hyperlink xmlns:r="http://schemas.openxmlformats.org/officeDocument/2006/relationships" ref="I122" display="arredondo-04-27-24-tao-te-ching-chaps-41-43-when-superior-people-way-produces-o" r:id="rId121"/>
    <hyperlink xmlns:r="http://schemas.openxmlformats.org/officeDocument/2006/relationships" ref="I123" display="arredondo-04-27-24-tao-te-ching-chaps-41-43-when-superior-people-way-produces-o" r:id="rId122"/>
    <hyperlink xmlns:r="http://schemas.openxmlformats.org/officeDocument/2006/relationships" ref="I124" display="arredondo-04-27-24-tao-te-ching-chaps-41-43-when-superior-people-way-produces-o" r:id="rId123"/>
    <hyperlink xmlns:r="http://schemas.openxmlformats.org/officeDocument/2006/relationships" ref="I125" display="arredondo-04-27-24-tao-te-ching-chaps-41-43-when-superior-people-way-produces-o" r:id="rId124"/>
    <hyperlink xmlns:r="http://schemas.openxmlformats.org/officeDocument/2006/relationships" ref="I126" display="arredondo-04-27-24-tao-te-ching-chaps-41-43-when-superior-people-way-produces-o" r:id="rId125"/>
    <hyperlink xmlns:r="http://schemas.openxmlformats.org/officeDocument/2006/relationships" ref="I127" display="arredondo-04-27-24-tao-te-ching-chaps-41-43-when-superior-people-way-produces-o" r:id="rId126"/>
    <hyperlink xmlns:r="http://schemas.openxmlformats.org/officeDocument/2006/relationships" ref="I128" display="arredondo-04-27-24-tao-te-ching-chaps-41-43-when-superior-people-way-produces-o" r:id="rId127"/>
    <hyperlink xmlns:r="http://schemas.openxmlformats.org/officeDocument/2006/relationships" ref="I129" display="arredondo-04-27-24-tao-te-ching-chaps-41-43-when-superior-people-way-produces-o" r:id="rId128"/>
    <hyperlink xmlns:r="http://schemas.openxmlformats.org/officeDocument/2006/relationships" ref="I130" display="arredondo-04-27-24-tao-te-ching-chaps-41-43-when-superior-people-way-produces-o" r:id="rId129"/>
    <hyperlink xmlns:r="http://schemas.openxmlformats.org/officeDocument/2006/relationships" ref="I131" display="arredondo-05-01-24-tao-te-ching-chaps-44-47-name-or-body-great-completeness-wor" r:id="rId130"/>
    <hyperlink xmlns:r="http://schemas.openxmlformats.org/officeDocument/2006/relationships" ref="I132" display="arredondo-05-01-24-tao-te-ching-chaps-44-47-name-or-body-great-completeness-wor" r:id="rId131"/>
    <hyperlink xmlns:r="http://schemas.openxmlformats.org/officeDocument/2006/relationships" ref="I133" display="arredondo-05-01-24-tao-te-ching-chaps-44-47-name-or-body-great-completeness-wor" r:id="rId132"/>
    <hyperlink xmlns:r="http://schemas.openxmlformats.org/officeDocument/2006/relationships" ref="I134" display="arredondo-05-01-24-tao-te-ching-chaps-44-47-name-or-body-great-completeness-wor" r:id="rId133"/>
    <hyperlink xmlns:r="http://schemas.openxmlformats.org/officeDocument/2006/relationships" ref="I135" display="arredondo-05-01-24-tao-te-ching-chaps-44-47-name-or-body-great-completeness-wor" r:id="rId134"/>
    <hyperlink xmlns:r="http://schemas.openxmlformats.org/officeDocument/2006/relationships" ref="I136" display="arredondo-05-01-24-tao-te-ching-chaps-44-47-name-or-body-great-completeness-wor" r:id="rId135"/>
    <hyperlink xmlns:r="http://schemas.openxmlformats.org/officeDocument/2006/relationships" ref="I137" display="arredondo-05-01-24-tao-te-ching-chaps-44-47-name-or-body-great-completeness-wor" r:id="rId136"/>
    <hyperlink xmlns:r="http://schemas.openxmlformats.org/officeDocument/2006/relationships" ref="I138" display="arredondo-05-01-24-tao-te-ching-chaps-44-47-name-or-body-great-completeness-wor" r:id="rId137"/>
    <hyperlink xmlns:r="http://schemas.openxmlformats.org/officeDocument/2006/relationships" ref="I139" display="arredondo-05-01-24-tao-te-ching-chaps-44-47-name-or-body-great-completeness-wor" r:id="rId138"/>
    <hyperlink xmlns:r="http://schemas.openxmlformats.org/officeDocument/2006/relationships" ref="I140" display="arredondo-05-01-24-tao-te-ching-chaps-44-47-name-or-body-great-completeness-wor" r:id="rId139"/>
    <hyperlink xmlns:r="http://schemas.openxmlformats.org/officeDocument/2006/relationships" ref="I141" display="arredondo-05-01-24-tao-te-ching-chaps-44-47-name-or-body-great-completeness-wor" r:id="rId140"/>
    <hyperlink xmlns:r="http://schemas.openxmlformats.org/officeDocument/2006/relationships" ref="I142" display="arredondo-05-01-24-tao-te-ching-chaps-44-47-name-or-body-great-completeness-wor" r:id="rId141"/>
    <hyperlink xmlns:r="http://schemas.openxmlformats.org/officeDocument/2006/relationships" ref="I143" display="arredondo-05-01-24-tao-te-ching-chaps-44-47-name-or-body-great-completeness-wor" r:id="rId142"/>
    <hyperlink xmlns:r="http://schemas.openxmlformats.org/officeDocument/2006/relationships" ref="I144" display="arredondo-05-01-24-tao-te-ching-chaps-44-47-name-or-body-great-completeness-wor" r:id="rId143"/>
    <hyperlink xmlns:r="http://schemas.openxmlformats.org/officeDocument/2006/relationships" ref="I145" display="arredondo-05-01-24-tao-te-ching-chaps-44-47-name-or-body-great-completeness-wor" r:id="rId144"/>
    <hyperlink xmlns:r="http://schemas.openxmlformats.org/officeDocument/2006/relationships" ref="I146" display="arredondo-05-03-24-tao-te-ching-chaps-48-50-gain-daily-sages-no-fixed-mind-from" r:id="rId145"/>
    <hyperlink xmlns:r="http://schemas.openxmlformats.org/officeDocument/2006/relationships" ref="I147" display="arredondo-05-03-24-tao-te-ching-chaps-48-50-gain-daily-sages-no-fixed-mind-from" r:id="rId146"/>
    <hyperlink xmlns:r="http://schemas.openxmlformats.org/officeDocument/2006/relationships" ref="I148" display="arredondo-05-03-24-tao-te-ching-chaps-48-50-gain-daily-sages-no-fixed-mind-from" r:id="rId147"/>
    <hyperlink xmlns:r="http://schemas.openxmlformats.org/officeDocument/2006/relationships" ref="I149" display="arredondo-05-03-24-tao-te-ching-chaps-48-50-gain-daily-sages-no-fixed-mind-from" r:id="rId148"/>
    <hyperlink xmlns:r="http://schemas.openxmlformats.org/officeDocument/2006/relationships" ref="I150" display="arredondo-05-03-24-tao-te-ching-chaps-48-50-gain-daily-sages-no-fixed-mind-from" r:id="rId149"/>
    <hyperlink xmlns:r="http://schemas.openxmlformats.org/officeDocument/2006/relationships" ref="I151" display="arredondo-05-03-24-tao-te-ching-chaps-48-50-gain-daily-sages-no-fixed-mind-from" r:id="rId150"/>
    <hyperlink xmlns:r="http://schemas.openxmlformats.org/officeDocument/2006/relationships" ref="I152" display="arredondo-05-03-24-tao-te-ching-chaps-48-50-gain-daily-sages-no-fixed-mind-from" r:id="rId151"/>
    <hyperlink xmlns:r="http://schemas.openxmlformats.org/officeDocument/2006/relationships" ref="I153" display="arredondo-05-03-24-tao-te-ching-chaps-48-50-gain-daily-sages-no-fixed-mind-from" r:id="rId152"/>
    <hyperlink xmlns:r="http://schemas.openxmlformats.org/officeDocument/2006/relationships" ref="I154" display="arredondo-05-03-24-tao-te-ching-chaps-48-50-gain-daily-sages-no-fixed-mind-from" r:id="rId153"/>
    <hyperlink xmlns:r="http://schemas.openxmlformats.org/officeDocument/2006/relationships" ref="I155" display="arredondo-05-06-24-tao-te-ching-chaps-51-54-gives-birth-world-beginning-flashes" r:id="rId154"/>
    <hyperlink xmlns:r="http://schemas.openxmlformats.org/officeDocument/2006/relationships" ref="I156" display="arredondo-05-06-24-tao-te-ching-chaps-51-54-gives-birth-world-beginning-flashes" r:id="rId155"/>
    <hyperlink xmlns:r="http://schemas.openxmlformats.org/officeDocument/2006/relationships" ref="I157" display="arredondo-05-06-24-tao-te-ching-chaps-51-54-gives-birth-world-beginning-flashes" r:id="rId156"/>
    <hyperlink xmlns:r="http://schemas.openxmlformats.org/officeDocument/2006/relationships" ref="I158" display="arredondo-05-06-24-tao-te-ching-chaps-51-54-gives-birth-world-beginning-flashes" r:id="rId157"/>
    <hyperlink xmlns:r="http://schemas.openxmlformats.org/officeDocument/2006/relationships" ref="I159" display="arredondo-05-06-24-tao-te-ching-chaps-51-54-gives-birth-world-beginning-flashes" r:id="rId158"/>
    <hyperlink xmlns:r="http://schemas.openxmlformats.org/officeDocument/2006/relationships" ref="I160" display="arredondo-05-06-24-tao-te-ching-chaps-51-54-gives-birth-world-beginning-flashes" r:id="rId159"/>
    <hyperlink xmlns:r="http://schemas.openxmlformats.org/officeDocument/2006/relationships" ref="I161" display="arredondo-05-06-24-tao-te-ching-chaps-51-54-gives-birth-world-beginning-flashes" r:id="rId160"/>
    <hyperlink xmlns:r="http://schemas.openxmlformats.org/officeDocument/2006/relationships" ref="I162" display="arredondo-05-06-24-tao-te-ching-chaps-51-54-gives-birth-world-beginning-flashes" r:id="rId161"/>
    <hyperlink xmlns:r="http://schemas.openxmlformats.org/officeDocument/2006/relationships" ref="I163" display="arredondo-05-06-24-tao-te-ching-chaps-51-54-gives-birth-world-beginning-flashes" r:id="rId162"/>
    <hyperlink xmlns:r="http://schemas.openxmlformats.org/officeDocument/2006/relationships" ref="I164" display="arredondo-05-07-24-tao-te-ching-chaps-55-58-subliminal-those-who-know-govern-un" r:id="rId163"/>
    <hyperlink xmlns:r="http://schemas.openxmlformats.org/officeDocument/2006/relationships" ref="I165" display="arredondo-05-07-24-tao-te-ching-chaps-55-58-subliminal-those-who-know-govern-un" r:id="rId164"/>
    <hyperlink xmlns:r="http://schemas.openxmlformats.org/officeDocument/2006/relationships" ref="I166" display="arredondo-05-07-24-tao-te-ching-chaps-55-58-subliminal-those-who-know-govern-un" r:id="rId165"/>
    <hyperlink xmlns:r="http://schemas.openxmlformats.org/officeDocument/2006/relationships" ref="I167" display="arredondo-05-07-24-tao-te-ching-chaps-55-58-subliminal-those-who-know-govern-un" r:id="rId166"/>
    <hyperlink xmlns:r="http://schemas.openxmlformats.org/officeDocument/2006/relationships" ref="I168" display="arredondo-05-07-24-tao-te-ching-chaps-55-58-subliminal-those-who-know-govern-un" r:id="rId167"/>
    <hyperlink xmlns:r="http://schemas.openxmlformats.org/officeDocument/2006/relationships" ref="I169" display="arredondo-05-07-24-tao-te-ching-chaps-55-58-subliminal-those-who-know-govern-un" r:id="rId168"/>
    <hyperlink xmlns:r="http://schemas.openxmlformats.org/officeDocument/2006/relationships" ref="I170" display="arredondo-05-07-24-tao-te-ching-chaps-55-58-subliminal-those-who-know-govern-un" r:id="rId169"/>
    <hyperlink xmlns:r="http://schemas.openxmlformats.org/officeDocument/2006/relationships" ref="I171" display="arredondo-05-07-24-tao-te-ching-chaps-55-58-subliminal-those-who-know-govern-un" r:id="rId170"/>
    <hyperlink xmlns:r="http://schemas.openxmlformats.org/officeDocument/2006/relationships" ref="I172" display="arredondo-05-07-24-tao-te-ching-chaps-55-58-subliminal-those-who-know-govern-un" r:id="rId171"/>
    <hyperlink xmlns:r="http://schemas.openxmlformats.org/officeDocument/2006/relationships" ref="I173" display="arredondo-05-07-24-tao-te-ching-chaps-55-58-subliminal-those-who-know-govern-un" r:id="rId172"/>
    <hyperlink xmlns:r="http://schemas.openxmlformats.org/officeDocument/2006/relationships" ref="I174" display="arredondo-05-07-24-tao-te-ching-chaps-55-58-subliminal-those-who-know-govern-un" r:id="rId173"/>
    <hyperlink xmlns:r="http://schemas.openxmlformats.org/officeDocument/2006/relationships" ref="I175" display="arredondo-05-07-24-tao-te-ching-chaps-55-58-subliminal-those-who-know-govern-un" r:id="rId174"/>
    <hyperlink xmlns:r="http://schemas.openxmlformats.org/officeDocument/2006/relationships" ref="I176" display="arredondo-05-08-24-tao-te-ching-chaps-59-62-govern-the-human-small-fry-great-na" r:id="rId175"/>
    <hyperlink xmlns:r="http://schemas.openxmlformats.org/officeDocument/2006/relationships" ref="I177" display="arredondo-05-08-24-tao-te-ching-chaps-59-62-govern-the-human-small-fry-great-na" r:id="rId176"/>
    <hyperlink xmlns:r="http://schemas.openxmlformats.org/officeDocument/2006/relationships" ref="I178" display="arredondo-05-08-24-tao-te-ching-chaps-59-62-govern-the-human-small-fry-great-na" r:id="rId177"/>
    <hyperlink xmlns:r="http://schemas.openxmlformats.org/officeDocument/2006/relationships" ref="I179" display="arredondo-05-08-24-tao-te-ching-chaps-59-62-govern-the-human-small-fry-great-na" r:id="rId178"/>
    <hyperlink xmlns:r="http://schemas.openxmlformats.org/officeDocument/2006/relationships" ref="I180" display="arredondo-05-08-24-tao-te-ching-chaps-59-62-govern-the-human-small-fry-great-na" r:id="rId179"/>
    <hyperlink xmlns:r="http://schemas.openxmlformats.org/officeDocument/2006/relationships" ref="I181" display="arredondo-05-08-24-tao-te-ching-chaps-59-62-govern-the-human-small-fry-great-na" r:id="rId180"/>
    <hyperlink xmlns:r="http://schemas.openxmlformats.org/officeDocument/2006/relationships" ref="I182" display="arredondo-05-08-24-tao-te-ching-chaps-59-62-govern-the-human-small-fry-great-na" r:id="rId181"/>
    <hyperlink xmlns:r="http://schemas.openxmlformats.org/officeDocument/2006/relationships" ref="I183" display="arredondo-05-08-24-tao-te-ching-chaps-59-62-govern-the-human-small-fry-great-na" r:id="rId182"/>
    <hyperlink xmlns:r="http://schemas.openxmlformats.org/officeDocument/2006/relationships" ref="I184" display="arredondo-05-08-24-tao-te-ching-chaps-59-62-govern-the-human-small-fry-great-na" r:id="rId183"/>
    <hyperlink xmlns:r="http://schemas.openxmlformats.org/officeDocument/2006/relationships" ref="I185" display="arredondo-05-08-24-tao-te-ching-chaps-59-62-govern-the-human-small-fry-great-na" r:id="rId184"/>
    <hyperlink xmlns:r="http://schemas.openxmlformats.org/officeDocument/2006/relationships" ref="I186" display="arredondo-05-08-24-tao-te-ching-chaps-59-62-govern-the-human-small-fry-great-na" r:id="rId185"/>
    <hyperlink xmlns:r="http://schemas.openxmlformats.org/officeDocument/2006/relationships" ref="I187" display="arredondo-05-08-24-tao-te-ching-chaps-59-62-govern-the-human-small-fry-great-na" r:id="rId186"/>
    <hyperlink xmlns:r="http://schemas.openxmlformats.org/officeDocument/2006/relationships" ref="I188" display="arredondo-05-09-24-tao-te-ching-chaps-63-65-do-non-doing-what-is-at-rest-good-p" r:id="rId187"/>
    <hyperlink xmlns:r="http://schemas.openxmlformats.org/officeDocument/2006/relationships" ref="I189" display="arredondo-05-09-24-tao-te-ching-chaps-63-65-do-non-doing-what-is-at-rest-good-p" r:id="rId188"/>
    <hyperlink xmlns:r="http://schemas.openxmlformats.org/officeDocument/2006/relationships" ref="I190" display="arredondo-05-09-24-tao-te-ching-chaps-63-65-do-non-doing-what-is-at-rest-good-p" r:id="rId189"/>
    <hyperlink xmlns:r="http://schemas.openxmlformats.org/officeDocument/2006/relationships" ref="I191" display="arredondo-05-09-24-tao-te-ching-chaps-63-65-do-non-doing-what-is-at-rest-good-p" r:id="rId190"/>
    <hyperlink xmlns:r="http://schemas.openxmlformats.org/officeDocument/2006/relationships" ref="I192" display="arredondo-05-09-24-tao-te-ching-chaps-63-65-do-non-doing-what-is-at-rest-good-p" r:id="rId191"/>
    <hyperlink xmlns:r="http://schemas.openxmlformats.org/officeDocument/2006/relationships" ref="I193" display="arredondo-05-09-24-tao-te-ching-chaps-63-65-do-non-doing-what-is-at-rest-good-p" r:id="rId192"/>
    <hyperlink xmlns:r="http://schemas.openxmlformats.org/officeDocument/2006/relationships" ref="I194" display="arredondo-05-09-24-tao-te-ching-chaps-63-65-do-non-doing-what-is-at-rest-good-p" r:id="rId193"/>
    <hyperlink xmlns:r="http://schemas.openxmlformats.org/officeDocument/2006/relationships" ref="I195" display="arredondo-05-09-24-tao-te-ching-chaps-63-65-do-non-doing-what-is-at-rest-good-p" r:id="rId194"/>
    <hyperlink xmlns:r="http://schemas.openxmlformats.org/officeDocument/2006/relationships" ref="I196" display="arredondo-05-09-24-tao-te-ching-chaps-63-65-do-non-doing-what-is-at-rest-good-p" r:id="rId195"/>
    <hyperlink xmlns:r="http://schemas.openxmlformats.org/officeDocument/2006/relationships" ref="I197" display="arredondo-05-09-24-tao-te-ching-chaps-63-65-do-non-doing-what-is-at-rest-good-p" r:id="rId196"/>
    <hyperlink xmlns:r="http://schemas.openxmlformats.org/officeDocument/2006/relationships" ref="I198" display="arredondo-05-09-24-tao-te-ching-chaps-63-65-do-non-doing-what-is-at-rest-good-p" r:id="rId197"/>
    <hyperlink xmlns:r="http://schemas.openxmlformats.org/officeDocument/2006/relationships" ref="I199" display="arredondo-05-09-24-tao-te-ching-chaps-63-65-do-non-doing-what-is-at-rest-good-p" r:id="rId198"/>
    <hyperlink xmlns:r="http://schemas.openxmlformats.org/officeDocument/2006/relationships" ref="I200" display="arredondo-05-10-24-tao-te-ching-chaps-66-69-rivers-seas-everyone-says-warriors" r:id="rId199"/>
    <hyperlink xmlns:r="http://schemas.openxmlformats.org/officeDocument/2006/relationships" ref="I201" display="arredondo-05-10-24-tao-te-ching-chaps-66-69-rivers-seas-everyone-says-warriors" r:id="rId200"/>
    <hyperlink xmlns:r="http://schemas.openxmlformats.org/officeDocument/2006/relationships" ref="I202" display="arredondo-05-10-24-tao-te-ching-chaps-66-69-rivers-seas-everyone-says-warriors" r:id="rId201"/>
    <hyperlink xmlns:r="http://schemas.openxmlformats.org/officeDocument/2006/relationships" ref="I203" display="arredondo-05-10-24-tao-te-ching-chaps-66-69-rivers-seas-everyone-says-warriors" r:id="rId202"/>
    <hyperlink xmlns:r="http://schemas.openxmlformats.org/officeDocument/2006/relationships" ref="I204" display="arredondo-05-10-24-tao-te-ching-chaps-66-69-rivers-seas-everyone-says-warriors" r:id="rId203"/>
    <hyperlink xmlns:r="http://schemas.openxmlformats.org/officeDocument/2006/relationships" ref="I205" display="arredondo-05-10-24-tao-te-ching-chaps-66-69-rivers-seas-everyone-says-warriors" r:id="rId204"/>
    <hyperlink xmlns:r="http://schemas.openxmlformats.org/officeDocument/2006/relationships" ref="I206" display="arredondo-05-10-24-tao-te-ching-chaps-66-69-rivers-seas-everyone-says-warriors" r:id="rId205"/>
    <hyperlink xmlns:r="http://schemas.openxmlformats.org/officeDocument/2006/relationships" ref="I207" display="arredondo-05-10-24-tao-te-ching-chaps-66-69-rivers-seas-everyone-says-warriors" r:id="rId206"/>
    <hyperlink xmlns:r="http://schemas.openxmlformats.org/officeDocument/2006/relationships" ref="I208" display="arredondo-05-10-24-tao-te-ching-chaps-66-69-rivers-seas-everyone-says-warriors" r:id="rId207"/>
    <hyperlink xmlns:r="http://schemas.openxmlformats.org/officeDocument/2006/relationships" ref="I209" display="arredondo-05-16-24-tao-te-ching-chaps-70-73-my-sayings-knowing-unconsciously-no" r:id="rId208"/>
    <hyperlink xmlns:r="http://schemas.openxmlformats.org/officeDocument/2006/relationships" ref="I210" display="arredondo-05-16-24-tao-te-ching-chaps-70-73-my-sayings-knowing-unconsciously-no" r:id="rId209"/>
    <hyperlink xmlns:r="http://schemas.openxmlformats.org/officeDocument/2006/relationships" ref="I211" display="arredondo-05-16-24-tao-te-ching-chaps-70-73-my-sayings-knowing-unconsciously-no" r:id="rId210"/>
    <hyperlink xmlns:r="http://schemas.openxmlformats.org/officeDocument/2006/relationships" ref="I212" display="arredondo-05-16-24-tao-te-ching-chaps-70-73-my-sayings-knowing-unconsciously-no" r:id="rId211"/>
    <hyperlink xmlns:r="http://schemas.openxmlformats.org/officeDocument/2006/relationships" ref="I213" display="arredondo-05-16-24-tao-te-ching-chaps-70-73-my-sayings-knowing-unconsciously-no" r:id="rId212"/>
    <hyperlink xmlns:r="http://schemas.openxmlformats.org/officeDocument/2006/relationships" ref="I214" display="arredondo-05-16-24-tao-te-ching-chaps-70-73-my-sayings-knowing-unconsciously-no" r:id="rId213"/>
    <hyperlink xmlns:r="http://schemas.openxmlformats.org/officeDocument/2006/relationships" ref="I215" display="arredondo-05-16-24-tao-te-ching-chaps-70-73-my-sayings-knowing-unconsciously-no" r:id="rId214"/>
    <hyperlink xmlns:r="http://schemas.openxmlformats.org/officeDocument/2006/relationships" ref="I216" display="arredondo-05-16-24-tao-te-ching-chaps-70-73-my-sayings-knowing-unconsciously-no" r:id="rId215"/>
    <hyperlink xmlns:r="http://schemas.openxmlformats.org/officeDocument/2006/relationships" ref="I217" display="arredondo-05-16-24-tao-te-ching-chaps-70-73-my-sayings-knowing-unconsciously-no" r:id="rId216"/>
    <hyperlink xmlns:r="http://schemas.openxmlformats.org/officeDocument/2006/relationships" ref="I218" display="arredondo-05-16-24-tao-te-ching-chaps-70-73-my-sayings-knowing-unconsciously-no" r:id="rId217"/>
    <hyperlink xmlns:r="http://schemas.openxmlformats.org/officeDocument/2006/relationships" ref="I219" display="arredondo-05-16-24-tao-te-ching-chaps-70-73-my-sayings-knowing-unconsciously-no" r:id="rId218"/>
    <hyperlink xmlns:r="http://schemas.openxmlformats.org/officeDocument/2006/relationships" ref="I220" display="arredondo-05-16-24-tao-te-ching-chaps-70-73-my-sayings-knowing-unconsciously-no" r:id="rId219"/>
    <hyperlink xmlns:r="http://schemas.openxmlformats.org/officeDocument/2006/relationships" ref="I221" display="arredondo-05-16-24-tao-te-ching-chaps-70-73-my-sayings-knowing-unconsciously-no" r:id="rId220"/>
    <hyperlink xmlns:r="http://schemas.openxmlformats.org/officeDocument/2006/relationships" ref="I222" display="arredondo-05-16-24-tao-te-ching-chaps-70-73-my-sayings-knowing-unconsciously-no" r:id="rId221"/>
    <hyperlink xmlns:r="http://schemas.openxmlformats.org/officeDocument/2006/relationships" ref="I223" display="arredondo-05-16-24-tao-te-ching-chaps-70-73-my-sayings-knowing-unconsciously-no" r:id="rId222"/>
    <hyperlink xmlns:r="http://schemas.openxmlformats.org/officeDocument/2006/relationships" ref="I224" display="arredondo-05-16-24-tao-te-ching-chaps-75-78-starvation-people-are-born-way-of-h" r:id="rId223"/>
    <hyperlink xmlns:r="http://schemas.openxmlformats.org/officeDocument/2006/relationships" ref="I225" display="arredondo-05-16-24-tao-te-ching-chaps-75-78-starvation-people-are-born-way-of-h" r:id="rId224"/>
    <hyperlink xmlns:r="http://schemas.openxmlformats.org/officeDocument/2006/relationships" ref="I226" display="arredondo-05-16-24-tao-te-ching-chaps-75-78-starvation-people-are-born-way-of-h" r:id="rId225"/>
    <hyperlink xmlns:r="http://schemas.openxmlformats.org/officeDocument/2006/relationships" ref="I227" display="arredondo-05-16-24-tao-te-ching-chaps-75-78-starvation-people-are-born-way-of-h" r:id="rId226"/>
    <hyperlink xmlns:r="http://schemas.openxmlformats.org/officeDocument/2006/relationships" ref="I228" display="arredondo-05-16-24-tao-te-ching-chaps-75-78-starvation-people-are-born-way-of-h" r:id="rId227"/>
    <hyperlink xmlns:r="http://schemas.openxmlformats.org/officeDocument/2006/relationships" ref="I229" display="arredondo-05-16-24-tao-te-ching-chaps-75-78-starvation-people-are-born-way-of-h" r:id="rId228"/>
    <hyperlink xmlns:r="http://schemas.openxmlformats.org/officeDocument/2006/relationships" ref="I230" display="arredondo-05-16-24-tao-te-ching-chaps-75-78-starvation-people-are-born-way-of-h" r:id="rId229"/>
    <hyperlink xmlns:r="http://schemas.openxmlformats.org/officeDocument/2006/relationships" ref="I231" display="arredondo-05-16-24-tao-te-ching-chaps-75-78-starvation-people-are-born-way-of-h" r:id="rId230"/>
    <hyperlink xmlns:r="http://schemas.openxmlformats.org/officeDocument/2006/relationships" ref="I232" display="arredondo-05-16-24-tao-te-ching-chaps-75-78-starvation-people-are-born-way-of-h" r:id="rId231"/>
    <hyperlink xmlns:r="http://schemas.openxmlformats.org/officeDocument/2006/relationships" ref="I233" display="arredondo-05-16-24-tao-te-ching-chaps-75-78-starvation-people-are-born-way-of-h" r:id="rId232"/>
    <hyperlink xmlns:r="http://schemas.openxmlformats.org/officeDocument/2006/relationships" ref="I234" display="arredondo-05-16-24-tao-te-ching-chaps-75-78-starvation-people-are-born-way-of-h" r:id="rId233"/>
    <hyperlink xmlns:r="http://schemas.openxmlformats.org/officeDocument/2006/relationships" ref="I235" display="arredondo-05-16-24-tao-te-ching-chaps-75-78-starvation-people-are-born-way-of-h" r:id="rId234"/>
    <hyperlink xmlns:r="http://schemas.openxmlformats.org/officeDocument/2006/relationships" ref="I236" display="arredondo-05-29-24-tao-te-ching-chaps-79-81-bitter-enemies-a-small-state-true-w" r:id="rId235"/>
    <hyperlink xmlns:r="http://schemas.openxmlformats.org/officeDocument/2006/relationships" ref="I237" display="arredondo-05-29-24-tao-te-ching-chaps-79-81-bitter-enemies-a-small-state-true-w" r:id="rId236"/>
    <hyperlink xmlns:r="http://schemas.openxmlformats.org/officeDocument/2006/relationships" ref="I238" display="arredondo-05-29-24-tao-te-ching-chaps-79-81-bitter-enemies-a-small-state-true-w" r:id="rId237"/>
    <hyperlink xmlns:r="http://schemas.openxmlformats.org/officeDocument/2006/relationships" ref="I239" display="arredondo-05-29-24-tao-te-ching-chaps-79-81-bitter-enemies-a-small-state-true-w" r:id="rId238"/>
    <hyperlink xmlns:r="http://schemas.openxmlformats.org/officeDocument/2006/relationships" ref="I240" display="arredondo-05-29-24-tao-te-ching-chaps-79-81-bitter-enemies-a-small-state-true-w" r:id="rId239"/>
    <hyperlink xmlns:r="http://schemas.openxmlformats.org/officeDocument/2006/relationships" ref="I241" display="arredondo-05-29-24-tao-te-ching-chaps-79-81-bitter-enemies-a-small-state-true-w" r:id="rId240"/>
    <hyperlink xmlns:r="http://schemas.openxmlformats.org/officeDocument/2006/relationships" ref="I242" display="arredondo-05-29-24-tao-te-ching-chaps-79-81-bitter-enemies-a-small-state-true-w" r:id="rId241"/>
    <hyperlink xmlns:r="http://schemas.openxmlformats.org/officeDocument/2006/relationships" ref="I243" display="arredondo-05-29-24-tao-te-ching-chaps-79-81-bitter-enemies-a-small-state-true-w" r:id="rId242"/>
    <hyperlink xmlns:r="http://schemas.openxmlformats.org/officeDocument/2006/relationships" ref="I244" display="arredondo-05-29-24-tao-te-ching-chaps-79-81-bitter-enemies-a-small-state-true-w" r:id="rId24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24" customWidth="1" style="15" min="2" max="2"/>
    <col width="92" customWidth="1" style="15" min="3" max="3"/>
  </cols>
  <sheetData>
    <row r="1" ht="17.35" customHeight="1" s="16">
      <c r="A1" s="24" t="inlineStr">
        <is>
          <t>Tao Te Ching Shorts: release cadence</t>
        </is>
      </c>
      <c r="B1" s="25" t="n"/>
      <c r="C1" s="25" t="n"/>
    </row>
    <row r="2" ht="15" customHeight="1" s="16">
      <c r="A2" s="25" t="n"/>
      <c r="B2" s="25" t="n"/>
      <c r="C2" s="25" t="n"/>
    </row>
    <row r="3" ht="15" customHeight="1" s="16">
      <c r="A3" s="26" t="inlineStr">
        <is>
          <t>Inputs (edit the yellow cells; every date in Schedule follows them)</t>
        </is>
      </c>
      <c r="B3" s="25" t="n"/>
      <c r="C3" s="25" t="n"/>
    </row>
    <row r="4" ht="15" customHeight="1" s="16">
      <c r="A4" s="25" t="inlineStr">
        <is>
          <t>First release date</t>
        </is>
      </c>
      <c r="B4" s="27" t="n">
        <v>46318</v>
      </c>
      <c r="C4" s="25" t="inlineStr">
        <is>
          <t>Chapter 1 reading, released Fri 23 Oct 2026 (from you)</t>
        </is>
      </c>
    </row>
    <row r="5" ht="15" customHeight="1" s="16">
      <c r="A5" s="25" t="n"/>
      <c r="B5" s="25" t="n"/>
      <c r="C5" s="25" t="n"/>
    </row>
    <row r="6" ht="15" customHeight="1" s="16">
      <c r="A6" s="26" t="inlineStr">
        <is>
          <t>Short type</t>
        </is>
      </c>
      <c r="B6" s="26" t="inlineStr">
        <is>
          <t>Days after the reading</t>
        </is>
      </c>
      <c r="C6" s="26" t="inlineStr">
        <is>
          <t>What it is</t>
        </is>
      </c>
    </row>
    <row r="7" ht="15" customHeight="1" s="16">
      <c r="A7" s="25" t="inlineStr">
        <is>
          <t>Reading</t>
        </is>
      </c>
      <c r="B7" s="28" t="n">
        <v>0</v>
      </c>
      <c r="C7" s="25" t="inlineStr">
        <is>
          <t>The chapter read straight through (reading-short)</t>
        </is>
      </c>
    </row>
    <row r="8" ht="15" customHeight="1" s="16">
      <c r="A8" s="25" t="inlineStr">
        <is>
          <t>Discussion 1</t>
        </is>
      </c>
      <c r="B8" s="28" t="n">
        <v>3</v>
      </c>
      <c r="C8" s="25" t="inlineStr">
        <is>
          <t>The chapter's main teaching from his discussion (make-short)</t>
        </is>
      </c>
    </row>
    <row r="9" ht="15" customHeight="1" s="16">
      <c r="A9" s="25" t="inlineStr">
        <is>
          <t>Discussion 2</t>
        </is>
      </c>
      <c r="B9" s="28" t="n">
        <v>5</v>
      </c>
      <c r="C9" s="25" t="inlineStr">
        <is>
          <t>A second point he emphasizes, or a different presentation of Discussion 1 if there is only one</t>
        </is>
      </c>
    </row>
    <row r="10" ht="15" customHeight="1" s="16">
      <c r="A10" s="25" t="n"/>
      <c r="B10" s="25" t="n"/>
      <c r="C10" s="25" t="n"/>
    </row>
    <row r="11" ht="15" customHeight="1" s="16">
      <c r="A11" s="25" t="inlineStr">
        <is>
          <t>Days between chapters</t>
        </is>
      </c>
      <c r="B11" s="28" t="n">
        <v>7</v>
      </c>
      <c r="C11" s="25" t="inlineStr">
        <is>
          <t>One chapter a week: Fri reading, Mon and Wed discussions (gaps of 3, 2, 2 days)</t>
        </is>
      </c>
    </row>
    <row r="12" ht="15" customHeight="1" s="16">
      <c r="A12" s="25" t="n"/>
      <c r="B12" s="25" t="n"/>
      <c r="C12" s="25" t="n"/>
    </row>
    <row r="13" ht="15" customHeight="1" s="16">
      <c r="A13" s="26" t="inlineStr">
        <is>
          <t>Overview</t>
        </is>
      </c>
      <c r="B13" s="25" t="n"/>
      <c r="C13" s="25" t="n"/>
    </row>
    <row r="14" ht="15" customHeight="1" s="16">
      <c r="A14" s="25" t="inlineStr">
        <is>
          <t>Shorts planned</t>
        </is>
      </c>
      <c r="B14" s="29">
        <f>COUNTA(Schedule!A2:A244)</f>
        <v/>
      </c>
      <c r="C14" s="25" t="n"/>
    </row>
    <row r="15" ht="15" customHeight="1" s="16">
      <c r="A15" s="25" t="inlineStr">
        <is>
          <t>Released</t>
        </is>
      </c>
      <c r="B15" s="29">
        <f>COUNTIF(Schedule!J2:J244,"Released")</f>
        <v/>
      </c>
      <c r="C15" s="25" t="n"/>
    </row>
    <row r="16" ht="15" customHeight="1" s="16">
      <c r="A16" s="25" t="inlineStr">
        <is>
          <t>Still to release</t>
        </is>
      </c>
      <c r="B16" s="29">
        <f>B14-B15</f>
        <v/>
      </c>
      <c r="C16" s="25" t="n"/>
    </row>
    <row r="17" ht="15" customHeight="1" s="16">
      <c r="A17" s="25" t="inlineStr">
        <is>
          <t>Last release</t>
        </is>
      </c>
      <c r="B17" s="30">
        <f>MAX(Schedule!G2:G244)</f>
        <v/>
      </c>
      <c r="C17" s="25" t="n"/>
    </row>
    <row r="18" ht="15" customHeight="1" s="16">
      <c r="A18" s="25" t="inlineStr">
        <is>
          <t>Next up</t>
        </is>
      </c>
      <c r="B18" s="29">
        <f>IFERROR(INDEX(Schedule!A2:A244,MATCH(TRUE(),INDEX(Schedule!J2:J244&lt;&gt;"Released",0),0)),"All released")</f>
        <v/>
      </c>
      <c r="C18" s="25" t="inlineStr">
        <is>
          <t>Release number of the first row in Schedule not marked Released</t>
        </is>
      </c>
    </row>
    <row r="19" ht="15" customHeight="1" s="16">
      <c r="A19" s="25" t="inlineStr">
        <is>
          <t>Next up on</t>
        </is>
      </c>
      <c r="B19" s="30">
        <f>IFERROR(INDEX(Schedule!G2:G244,B18),"")</f>
        <v/>
      </c>
      <c r="C19" s="25" t="n"/>
    </row>
    <row r="20" ht="15" customHeight="1" s="16">
      <c r="A20" s="25" t="inlineStr">
        <is>
          <t>Overdue</t>
        </is>
      </c>
      <c r="B20" s="29">
        <f>COUNTIFS(Schedule!G2:G244,"&lt;"&amp;TODAY(),Schedule!J2:J244,"&lt;&gt;Released")</f>
        <v/>
      </c>
      <c r="C20" s="25" t="inlineStr">
        <is>
          <t>Shorts whose release date has passed and aren't marked Released</t>
        </is>
      </c>
    </row>
    <row r="21" ht="15" customHeight="1" s="16">
      <c r="A21" s="25" t="inlineStr">
        <is>
          <t>Made, not yet released</t>
        </is>
      </c>
      <c r="B21" s="29">
        <f>COUNTIF(Schedule!J2:J244,"Ready")+COUNTIF(Schedule!J2:J244,"Scheduled")</f>
        <v/>
      </c>
      <c r="C21" s="25" t="n"/>
    </row>
    <row r="22" ht="15" customHeight="1" s="16">
      <c r="A22" s="25" t="inlineStr">
        <is>
          <t>On track?</t>
        </is>
      </c>
      <c r="B22" s="31">
        <f>IF(B20&gt;0,"Behind","On track")</f>
        <v/>
      </c>
      <c r="C22" s="25" t="inlineStr">
        <is>
          <t>Behind if anything is overdue. python3 -I pipeline/schedule.py status gives the full report and the buffer.</t>
        </is>
      </c>
    </row>
    <row r="23" ht="15" customHeight="1" s="16">
      <c r="A23" s="25" t="n"/>
      <c r="B23" s="25" t="n"/>
      <c r="C23" s="25" t="n"/>
    </row>
    <row r="24" ht="15" customHeight="1" s="16">
      <c r="A24" s="26" t="inlineStr">
        <is>
          <t>Legend</t>
        </is>
      </c>
      <c r="B24" s="25" t="n"/>
      <c r="C24" s="25" t="n"/>
    </row>
    <row r="25" ht="15" customHeight="1" s="16">
      <c r="A25" s="25" t="inlineStr">
        <is>
          <t>Yellow fill, blue text: inputs you can edit. Black: formulas, don't overwrite.</t>
        </is>
      </c>
      <c r="B25" s="25" t="n"/>
      <c r="C25" s="25" t="n"/>
    </row>
    <row r="26" ht="15" customHeight="1" s="16">
      <c r="A26" s="25" t="inlineStr">
        <is>
          <t>In Schedule, Status, Short title, Notes and Created on are filled in as each Short is made (pipeline/schedule.py mark). Row 2 (Chapter 1 reading) is the worked example.</t>
        </is>
      </c>
      <c r="B26" s="25" t="n"/>
      <c r="C26" s="25" t="n"/>
    </row>
    <row r="27" ht="15" customHeight="1" s="16">
      <c r="A27" s="25" t="inlineStr">
        <is>
          <t>Chapter titles and source videos come from the channel's archive.org descriptions.</t>
        </is>
      </c>
      <c r="B27" s="25" t="n"/>
      <c r="C27" s="2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2026-10-24T17:45:55Z</dcterms:created>
  <dcterms:modified xmlns:dcterms="http://purl.org/dc/terms/" xmlns:xsi="http://www.w3.org/2001/XMLSchema-instance" xsi:type="dcterms:W3CDTF">2026-10-24T21:32:09Z</dcterms:modified>
  <cp:revision>0</cp:revision>
</cp:coreProperties>
</file>